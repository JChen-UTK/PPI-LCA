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weichen/Documents/Academic/1 Academic/1 Research/PPI LCA/Code/V5 Revision/"/>
    </mc:Choice>
  </mc:AlternateContent>
  <xr:revisionPtr revIDLastSave="0" documentId="13_ncr:1_{E775E843-6D9B-B346-8BEF-7F7C3945A031}" xr6:coauthVersionLast="47" xr6:coauthVersionMax="47" xr10:uidLastSave="{00000000-0000-0000-0000-000000000000}"/>
  <bookViews>
    <workbookView xWindow="5560" yWindow="-20620" windowWidth="38400" windowHeight="20980" activeTab="1" xr2:uid="{82930890-5FDB-7A4A-A646-FDE86773B63C}"/>
  </bookViews>
  <sheets>
    <sheet name="original data" sheetId="1" r:id="rId1"/>
    <sheet name="ratio" sheetId="2" r:id="rId2"/>
    <sheet name="normalization" sheetId="3" r:id="rId3"/>
    <sheet name="dimension" sheetId="4" r:id="rId4"/>
    <sheet name="S3-ratio" sheetId="5" r:id="rId5"/>
    <sheet name="S3-normalization" sheetId="6" r:id="rId6"/>
    <sheet name="S3-dimension" sheetId="7" r:id="rId7"/>
  </sheets>
  <definedNames>
    <definedName name="_xlnm._FilterDatabase" localSheetId="0" hidden="1">'original data'!$A$1:$E$1</definedName>
    <definedName name="_xlnm._FilterDatabase" localSheetId="1" hidden="1">ratio!$A$1:$G$21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7" i="2"/>
  <c r="B5" i="2"/>
  <c r="B6" i="2"/>
  <c r="B8" i="2"/>
  <c r="B9" i="2"/>
  <c r="B10" i="2"/>
  <c r="B11" i="2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C2" i="7"/>
  <c r="C3" i="6"/>
  <c r="E3" i="6"/>
  <c r="C4" i="6"/>
  <c r="E4" i="6"/>
  <c r="C5" i="6"/>
  <c r="E5" i="6"/>
  <c r="C6" i="6"/>
  <c r="E6" i="6"/>
  <c r="C7" i="6"/>
  <c r="E7" i="6"/>
  <c r="C8" i="6"/>
  <c r="E8" i="6"/>
  <c r="C9" i="6"/>
  <c r="E9" i="6"/>
  <c r="C10" i="6"/>
  <c r="E10" i="6"/>
  <c r="C11" i="6"/>
  <c r="E11" i="6"/>
  <c r="C12" i="6"/>
  <c r="E12" i="6"/>
  <c r="C13" i="6"/>
  <c r="E13" i="6"/>
  <c r="C14" i="6"/>
  <c r="E14" i="6"/>
  <c r="C15" i="6"/>
  <c r="E15" i="6"/>
  <c r="C16" i="6"/>
  <c r="E16" i="6"/>
  <c r="C17" i="6"/>
  <c r="E17" i="6"/>
  <c r="C2" i="6"/>
  <c r="E2" i="6"/>
  <c r="E20" i="5"/>
  <c r="C20" i="5"/>
  <c r="E19" i="5"/>
  <c r="C19" i="5"/>
  <c r="D17" i="5"/>
  <c r="B17" i="5"/>
  <c r="D16" i="5"/>
  <c r="B16" i="5"/>
  <c r="D15" i="5"/>
  <c r="B15" i="5"/>
  <c r="D14" i="5"/>
  <c r="B14" i="5"/>
  <c r="D13" i="5"/>
  <c r="B13" i="5"/>
  <c r="D12" i="5"/>
  <c r="B12" i="5"/>
  <c r="D11" i="5"/>
  <c r="B11" i="5"/>
  <c r="D10" i="5"/>
  <c r="B10" i="5"/>
  <c r="D9" i="5"/>
  <c r="B9" i="5"/>
  <c r="D8" i="5"/>
  <c r="B8" i="5"/>
  <c r="D7" i="5"/>
  <c r="B7" i="5"/>
  <c r="D6" i="5"/>
  <c r="B6" i="5"/>
  <c r="D5" i="5"/>
  <c r="B5" i="5"/>
  <c r="D4" i="5"/>
  <c r="B4" i="5"/>
  <c r="D3" i="5"/>
  <c r="D2" i="5"/>
  <c r="B2" i="5"/>
  <c r="D20" i="5" l="1"/>
  <c r="B20" i="5"/>
  <c r="B19" i="5"/>
  <c r="D19" i="5"/>
  <c r="B3" i="2"/>
  <c r="D3" i="2"/>
  <c r="B4" i="2"/>
  <c r="D4" i="2"/>
  <c r="D5" i="2"/>
  <c r="E4" i="3"/>
  <c r="E3" i="4"/>
  <c r="C4" i="4"/>
  <c r="E5" i="4"/>
  <c r="C23" i="2"/>
  <c r="C11" i="4" s="1"/>
  <c r="E23" i="2"/>
  <c r="E3" i="3" s="1"/>
  <c r="C24" i="2"/>
  <c r="E24" i="2"/>
  <c r="E20" i="4" s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B12" i="2"/>
  <c r="B13" i="2"/>
  <c r="B14" i="2"/>
  <c r="B15" i="2"/>
  <c r="B16" i="2"/>
  <c r="B17" i="2"/>
  <c r="B18" i="2"/>
  <c r="B19" i="2"/>
  <c r="B20" i="2"/>
  <c r="B21" i="2"/>
  <c r="B2" i="2"/>
  <c r="B15" i="7" l="1"/>
  <c r="B4" i="7"/>
  <c r="B4" i="6"/>
  <c r="B3" i="7"/>
  <c r="F3" i="7" s="1"/>
  <c r="B3" i="6"/>
  <c r="B2" i="7"/>
  <c r="B2" i="6"/>
  <c r="B11" i="6"/>
  <c r="B14" i="6"/>
  <c r="B14" i="7"/>
  <c r="B13" i="7"/>
  <c r="B13" i="6"/>
  <c r="B12" i="7"/>
  <c r="B12" i="6"/>
  <c r="B11" i="7"/>
  <c r="B10" i="7"/>
  <c r="B10" i="6"/>
  <c r="B9" i="7"/>
  <c r="B8" i="7"/>
  <c r="B16" i="7"/>
  <c r="B17" i="7"/>
  <c r="B9" i="6"/>
  <c r="B8" i="6"/>
  <c r="B7" i="6"/>
  <c r="B6" i="6"/>
  <c r="B5" i="6"/>
  <c r="B17" i="6"/>
  <c r="B15" i="6"/>
  <c r="B16" i="6"/>
  <c r="B5" i="7"/>
  <c r="B6" i="7"/>
  <c r="B7" i="7"/>
  <c r="D10" i="7"/>
  <c r="D16" i="7"/>
  <c r="D15" i="7"/>
  <c r="D8" i="7"/>
  <c r="D12" i="7"/>
  <c r="D6" i="7"/>
  <c r="D13" i="7"/>
  <c r="D13" i="6"/>
  <c r="D14" i="7"/>
  <c r="D7" i="7"/>
  <c r="D5" i="7"/>
  <c r="D4" i="7"/>
  <c r="D14" i="6"/>
  <c r="D10" i="6"/>
  <c r="D4" i="6"/>
  <c r="D11" i="7"/>
  <c r="D5" i="6"/>
  <c r="D12" i="6"/>
  <c r="D6" i="6"/>
  <c r="D2" i="6"/>
  <c r="D7" i="6"/>
  <c r="D2" i="7"/>
  <c r="D8" i="6"/>
  <c r="D3" i="7"/>
  <c r="D15" i="6"/>
  <c r="D16" i="6"/>
  <c r="D17" i="7"/>
  <c r="D3" i="6"/>
  <c r="D9" i="7"/>
  <c r="D9" i="6"/>
  <c r="D17" i="6"/>
  <c r="D11" i="6"/>
  <c r="C5" i="3"/>
  <c r="C5" i="4"/>
  <c r="C3" i="4"/>
  <c r="C4" i="3"/>
  <c r="C3" i="3"/>
  <c r="C8" i="3"/>
  <c r="E4" i="4"/>
  <c r="E5" i="3"/>
  <c r="E19" i="4"/>
  <c r="E6" i="4"/>
  <c r="C7" i="4"/>
  <c r="C15" i="4"/>
  <c r="C18" i="4"/>
  <c r="C8" i="4"/>
  <c r="E10" i="4"/>
  <c r="E11" i="4"/>
  <c r="E14" i="4"/>
  <c r="E21" i="4"/>
  <c r="E7" i="4"/>
  <c r="E15" i="4"/>
  <c r="C16" i="4"/>
  <c r="E2" i="4"/>
  <c r="E18" i="4"/>
  <c r="C19" i="4"/>
  <c r="C12" i="4"/>
  <c r="C20" i="4"/>
  <c r="E8" i="4"/>
  <c r="E12" i="4"/>
  <c r="E16" i="4"/>
  <c r="C9" i="4"/>
  <c r="C13" i="4"/>
  <c r="C17" i="4"/>
  <c r="C21" i="4"/>
  <c r="E9" i="4"/>
  <c r="E13" i="4"/>
  <c r="E17" i="4"/>
  <c r="C2" i="4"/>
  <c r="C6" i="4"/>
  <c r="C10" i="4"/>
  <c r="C14" i="4"/>
  <c r="E18" i="3"/>
  <c r="E10" i="3"/>
  <c r="C18" i="3"/>
  <c r="E14" i="3"/>
  <c r="C10" i="3"/>
  <c r="E17" i="3"/>
  <c r="E9" i="3"/>
  <c r="E2" i="3"/>
  <c r="C17" i="3"/>
  <c r="C9" i="3"/>
  <c r="C2" i="3"/>
  <c r="E6" i="3"/>
  <c r="E21" i="3"/>
  <c r="C14" i="3"/>
  <c r="C6" i="3"/>
  <c r="C21" i="3"/>
  <c r="E13" i="3"/>
  <c r="E20" i="3"/>
  <c r="C13" i="3"/>
  <c r="E16" i="3"/>
  <c r="E8" i="3"/>
  <c r="C20" i="3"/>
  <c r="C16" i="3"/>
  <c r="C12" i="3"/>
  <c r="E19" i="3"/>
  <c r="E15" i="3"/>
  <c r="E11" i="3"/>
  <c r="E7" i="3"/>
  <c r="E12" i="3"/>
  <c r="C19" i="3"/>
  <c r="C15" i="3"/>
  <c r="C11" i="3"/>
  <c r="C7" i="3"/>
  <c r="B24" i="2"/>
  <c r="D24" i="2"/>
  <c r="B23" i="2"/>
  <c r="D23" i="2"/>
  <c r="F2" i="7" l="1"/>
  <c r="F12" i="7"/>
  <c r="F17" i="7"/>
  <c r="F6" i="7"/>
  <c r="F11" i="7"/>
  <c r="F10" i="7"/>
  <c r="F16" i="7"/>
  <c r="F15" i="7"/>
  <c r="F13" i="7"/>
  <c r="F8" i="7"/>
  <c r="F7" i="7"/>
  <c r="F4" i="7"/>
  <c r="F14" i="7"/>
  <c r="F9" i="7"/>
  <c r="F5" i="7"/>
  <c r="B5" i="4"/>
  <c r="D3" i="3"/>
  <c r="D3" i="4"/>
  <c r="D4" i="3"/>
  <c r="D5" i="4"/>
  <c r="D4" i="4"/>
  <c r="B5" i="3"/>
  <c r="B4" i="3"/>
  <c r="B3" i="4"/>
  <c r="F3" i="4" s="1"/>
  <c r="B3" i="3"/>
  <c r="B4" i="4"/>
  <c r="D5" i="3"/>
  <c r="D6" i="4"/>
  <c r="B20" i="4"/>
  <c r="D16" i="4"/>
  <c r="B6" i="4"/>
  <c r="B14" i="4"/>
  <c r="D12" i="4"/>
  <c r="B12" i="4"/>
  <c r="B2" i="4"/>
  <c r="D20" i="4"/>
  <c r="D15" i="4"/>
  <c r="D13" i="4"/>
  <c r="D7" i="4"/>
  <c r="D21" i="4"/>
  <c r="D9" i="4"/>
  <c r="D11" i="4"/>
  <c r="D14" i="4"/>
  <c r="B16" i="4"/>
  <c r="B8" i="4"/>
  <c r="B21" i="4"/>
  <c r="B19" i="4"/>
  <c r="B17" i="4"/>
  <c r="B13" i="4"/>
  <c r="B11" i="4"/>
  <c r="B9" i="4"/>
  <c r="D17" i="4"/>
  <c r="D19" i="4"/>
  <c r="D2" i="4"/>
  <c r="D10" i="4"/>
  <c r="B7" i="4"/>
  <c r="B10" i="4"/>
  <c r="D8" i="4"/>
  <c r="D18" i="4"/>
  <c r="B15" i="4"/>
  <c r="B18" i="4"/>
  <c r="D15" i="3"/>
  <c r="B17" i="3"/>
  <c r="D9" i="3"/>
  <c r="B15" i="3"/>
  <c r="B13" i="3"/>
  <c r="B7" i="3"/>
  <c r="B21" i="3"/>
  <c r="D7" i="3"/>
  <c r="B6" i="3"/>
  <c r="B14" i="3"/>
  <c r="B11" i="3"/>
  <c r="B19" i="3"/>
  <c r="D11" i="3"/>
  <c r="D19" i="3"/>
  <c r="D2" i="3"/>
  <c r="D6" i="3"/>
  <c r="D8" i="3"/>
  <c r="D12" i="3"/>
  <c r="D16" i="3"/>
  <c r="D14" i="3"/>
  <c r="D20" i="3"/>
  <c r="B9" i="3"/>
  <c r="D10" i="3"/>
  <c r="D13" i="3"/>
  <c r="D21" i="3"/>
  <c r="B2" i="3"/>
  <c r="B12" i="3"/>
  <c r="D17" i="3"/>
  <c r="B8" i="3"/>
  <c r="B16" i="3"/>
  <c r="B18" i="3"/>
  <c r="B10" i="3"/>
  <c r="B20" i="3"/>
  <c r="D18" i="3"/>
  <c r="F11" i="4" l="1"/>
  <c r="F5" i="4"/>
  <c r="F19" i="4"/>
  <c r="F4" i="4"/>
  <c r="F18" i="4"/>
  <c r="F8" i="4"/>
  <c r="F15" i="4"/>
  <c r="F16" i="4"/>
  <c r="F10" i="4"/>
  <c r="F9" i="4"/>
  <c r="F6" i="4"/>
  <c r="F14" i="4"/>
  <c r="F17" i="4"/>
  <c r="F20" i="4"/>
  <c r="F21" i="4"/>
  <c r="F12" i="4"/>
  <c r="F7" i="4"/>
  <c r="F13" i="4"/>
  <c r="F2" i="4"/>
</calcChain>
</file>

<file path=xl/sharedStrings.xml><?xml version="1.0" encoding="utf-8"?>
<sst xmlns="http://schemas.openxmlformats.org/spreadsheetml/2006/main" count="168" uniqueCount="53">
  <si>
    <t>Scenario</t>
  </si>
  <si>
    <t>S1</t>
  </si>
  <si>
    <t>S21</t>
  </si>
  <si>
    <t>S22</t>
  </si>
  <si>
    <t>S23</t>
  </si>
  <si>
    <t>S311</t>
  </si>
  <si>
    <t>S312</t>
  </si>
  <si>
    <t>S313</t>
  </si>
  <si>
    <t>S314</t>
  </si>
  <si>
    <t>S321</t>
  </si>
  <si>
    <t>S322</t>
  </si>
  <si>
    <t>S323</t>
  </si>
  <si>
    <t>S324</t>
  </si>
  <si>
    <t>S331</t>
  </si>
  <si>
    <t>S332</t>
  </si>
  <si>
    <t>S333</t>
  </si>
  <si>
    <t>S334</t>
  </si>
  <si>
    <t>S341</t>
  </si>
  <si>
    <t>S342</t>
  </si>
  <si>
    <t>S343</t>
  </si>
  <si>
    <t>S344</t>
  </si>
  <si>
    <r>
      <t>LCA Emission (ST CO</t>
    </r>
    <r>
      <rPr>
        <b/>
        <sz val="8"/>
        <color theme="1"/>
        <rFont val="Aptos Narrow (Body)"/>
      </rPr>
      <t>2 eq./FST</t>
    </r>
    <r>
      <rPr>
        <b/>
        <sz val="12"/>
        <color theme="1"/>
        <rFont val="Aptos Narrow"/>
        <family val="2"/>
        <scheme val="minor"/>
      </rPr>
      <t>)</t>
    </r>
  </si>
  <si>
    <t>LCA Energy Cost (USD/FST)</t>
  </si>
  <si>
    <t>Acc Emission Reduction (million ST CO2 eq.)</t>
  </si>
  <si>
    <t>Acc Cost Saving (million USD)</t>
  </si>
  <si>
    <t>Emission Reduction</t>
  </si>
  <si>
    <t>Energy/fuel Cost Saving</t>
  </si>
  <si>
    <t>min</t>
  </si>
  <si>
    <t>max</t>
  </si>
  <si>
    <t>D1</t>
  </si>
  <si>
    <t>D2</t>
  </si>
  <si>
    <t>D3</t>
  </si>
  <si>
    <t>D4</t>
  </si>
  <si>
    <t>Total Emission Reduction (million ST CO2 eq.)</t>
  </si>
  <si>
    <t>total Emission Reduction (million ST CO2 eq.)</t>
  </si>
  <si>
    <t>Toal Cost Saving (million USD)</t>
  </si>
  <si>
    <t>Sum</t>
  </si>
  <si>
    <t>S3-1-1</t>
  </si>
  <si>
    <t>S3-1-2</t>
  </si>
  <si>
    <t>S3-1-3</t>
  </si>
  <si>
    <t>S3-1-4</t>
  </si>
  <si>
    <t>S3-2-1</t>
  </si>
  <si>
    <t>S3-2-2</t>
  </si>
  <si>
    <t>S3-2-3</t>
  </si>
  <si>
    <t>S3-2-4</t>
  </si>
  <si>
    <t>S3-3-1</t>
  </si>
  <si>
    <t>S3-3-2</t>
  </si>
  <si>
    <t>S3-3-3</t>
  </si>
  <si>
    <t>S3-3-4</t>
  </si>
  <si>
    <t>S3-4-1</t>
  </si>
  <si>
    <t>S3-4-2</t>
  </si>
  <si>
    <t>S3-4-3</t>
  </si>
  <si>
    <t>S3-4-4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</si>
</sst>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 (Body)"/>
    </font>
    <font>
      <sz val="12"/>
      <color rgb="FF000000"/>
      <name val="Aptos Narrow"/>
      <family val="2"/>
      <scheme val="minor"/>
    </font>
    <font>
      <sz val="12"/>
      <color rgb="FFCCCCCC"/>
      <name val="Menlo"/>
      <family val="2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" fontId="0" fillId="0" borderId="0" xfId="0" applyNumberFormat="1"/>
    <xf numFmtId="10" fontId="2" fillId="0" borderId="0" xfId="1" applyNumberFormat="1" applyFont="1"/>
    <xf numFmtId="10" fontId="0" fillId="0" borderId="0" xfId="1" applyNumberFormat="1" applyFont="1"/>
    <xf numFmtId="1" fontId="0" fillId="0" borderId="0" xfId="1" applyNumberFormat="1" applyFont="1"/>
    <xf numFmtId="0" fontId="5" fillId="0" borderId="0" xfId="0" applyFont="1"/>
    <xf numFmtId="10" fontId="5" fillId="0" borderId="0" xfId="0" applyNumberFormat="1" applyFont="1"/>
    <xf numFmtId="1" fontId="5" fillId="0" borderId="0" xfId="0" applyNumberFormat="1" applyFont="1"/>
    <xf numFmtId="1" fontId="7" fillId="0" borderId="0" xfId="0" applyNumberFormat="1" applyFont="1"/>
    <xf numFmtId="164" fontId="0" fillId="0" borderId="0" xfId="0" applyNumberFormat="1"/>
    <xf numFmtId="10" fontId="0" fillId="0" borderId="0" xfId="1" applyNumberFormat="1" applyFont="1" applyFill="1"/>
    <xf numFmtId="1" fontId="2" fillId="0" borderId="0" xfId="0" applyNumberFormat="1" applyFont="1" applyAlignment="1">
      <alignment wrapText="1"/>
    </xf>
    <xf numFmtId="1" fontId="0" fillId="0" borderId="0" xfId="1" applyNumberFormat="1" applyFont="1" applyFill="1"/>
    <xf numFmtId="1" fontId="6" fillId="0" borderId="0" xfId="0" applyNumberFormat="1" applyFont="1"/>
    <xf numFmtId="0" fontId="7" fillId="0" borderId="0" xfId="0" applyFont="1"/>
    <xf numFmtId="2" fontId="0" fillId="0" borderId="0" xfId="1" applyNumberFormat="1" applyFont="1"/>
    <xf numFmtId="165" fontId="0" fillId="0" borderId="0" xfId="0" applyNumberFormat="1"/>
    <xf numFmtId="165" fontId="7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9519-AED0-4C4A-998E-CE2BF93A56FA}">
  <dimension ref="A1:G22"/>
  <sheetViews>
    <sheetView zoomScale="180" workbookViewId="0">
      <selection activeCell="C23" sqref="C23"/>
    </sheetView>
  </sheetViews>
  <sheetFormatPr baseColWidth="10" defaultRowHeight="16" x14ac:dyDescent="0.2"/>
  <cols>
    <col min="1" max="1" width="9.5" customWidth="1"/>
    <col min="2" max="2" width="27" bestFit="1" customWidth="1"/>
    <col min="3" max="3" width="24.6640625" bestFit="1" customWidth="1"/>
    <col min="4" max="4" width="26.33203125" bestFit="1" customWidth="1"/>
    <col min="5" max="5" width="17.33203125" customWidth="1"/>
    <col min="6" max="6" width="13.83203125" bestFit="1" customWidth="1"/>
    <col min="7" max="7" width="11.6640625" bestFit="1" customWidth="1"/>
  </cols>
  <sheetData>
    <row r="1" spans="1:7" ht="34" x14ac:dyDescent="0.2">
      <c r="A1" s="1" t="s">
        <v>0</v>
      </c>
      <c r="B1" s="1" t="s">
        <v>21</v>
      </c>
      <c r="C1" s="2" t="s">
        <v>33</v>
      </c>
      <c r="D1" s="1" t="s">
        <v>22</v>
      </c>
      <c r="E1" s="2" t="s">
        <v>24</v>
      </c>
    </row>
    <row r="2" spans="1:7" x14ac:dyDescent="0.2">
      <c r="A2" t="s">
        <v>1</v>
      </c>
      <c r="B2">
        <v>2.7911000000000001</v>
      </c>
      <c r="C2">
        <v>330.43110000000001</v>
      </c>
      <c r="D2">
        <v>220.62469999999999</v>
      </c>
      <c r="E2">
        <v>65277.270299999996</v>
      </c>
      <c r="G2" s="11"/>
    </row>
    <row r="3" spans="1:7" x14ac:dyDescent="0.2">
      <c r="A3" t="s">
        <v>2</v>
      </c>
      <c r="B3">
        <v>2.7214</v>
      </c>
      <c r="C3">
        <v>433.43189999999998</v>
      </c>
      <c r="D3">
        <v>210.87899999999999</v>
      </c>
      <c r="E3">
        <v>80253.838699999993</v>
      </c>
      <c r="G3" s="11"/>
    </row>
    <row r="4" spans="1:7" x14ac:dyDescent="0.2">
      <c r="A4" t="s">
        <v>3</v>
      </c>
      <c r="B4">
        <v>2.673</v>
      </c>
      <c r="C4">
        <v>532.2482</v>
      </c>
      <c r="D4">
        <v>204.1935</v>
      </c>
      <c r="E4">
        <v>94602.61</v>
      </c>
      <c r="G4" s="11"/>
    </row>
    <row r="5" spans="1:7" x14ac:dyDescent="0.2">
      <c r="A5" t="s">
        <v>4</v>
      </c>
      <c r="B5">
        <v>2.6436000000000002</v>
      </c>
      <c r="C5">
        <v>619.77470000000005</v>
      </c>
      <c r="D5">
        <v>200.2946</v>
      </c>
      <c r="E5">
        <v>107231.05100000001</v>
      </c>
      <c r="G5" s="11"/>
    </row>
    <row r="6" spans="1:7" x14ac:dyDescent="0.2">
      <c r="A6" t="s">
        <v>5</v>
      </c>
      <c r="B6">
        <v>2.7818000000000001</v>
      </c>
      <c r="C6">
        <v>342.3793</v>
      </c>
      <c r="D6">
        <v>219.3184</v>
      </c>
      <c r="E6">
        <v>67011.995599999995</v>
      </c>
      <c r="G6" s="11"/>
    </row>
    <row r="7" spans="1:7" x14ac:dyDescent="0.2">
      <c r="A7" t="s">
        <v>6</v>
      </c>
      <c r="B7">
        <v>2.7753999999999999</v>
      </c>
      <c r="C7">
        <v>353.77530000000002</v>
      </c>
      <c r="D7">
        <v>218.46019999999999</v>
      </c>
      <c r="E7">
        <v>68637.028000000006</v>
      </c>
      <c r="G7" s="11"/>
    </row>
    <row r="8" spans="1:7" x14ac:dyDescent="0.2">
      <c r="A8" t="s">
        <v>7</v>
      </c>
      <c r="B8">
        <v>2.7673999999999999</v>
      </c>
      <c r="C8">
        <v>367.70639999999997</v>
      </c>
      <c r="D8">
        <v>217.352</v>
      </c>
      <c r="E8">
        <v>70662.058600000004</v>
      </c>
      <c r="G8" s="11"/>
    </row>
    <row r="9" spans="1:7" x14ac:dyDescent="0.2">
      <c r="A9" t="s">
        <v>8</v>
      </c>
      <c r="B9">
        <v>2.7686999999999999</v>
      </c>
      <c r="C9">
        <v>374.07679999999999</v>
      </c>
      <c r="D9">
        <v>217.6491</v>
      </c>
      <c r="E9">
        <v>71481.405700000003</v>
      </c>
      <c r="G9" s="11"/>
    </row>
    <row r="10" spans="1:7" x14ac:dyDescent="0.2">
      <c r="A10" t="s">
        <v>9</v>
      </c>
      <c r="B10">
        <v>2.7808000000000002</v>
      </c>
      <c r="C10">
        <v>351.3811</v>
      </c>
      <c r="D10">
        <v>219.21899999999999</v>
      </c>
      <c r="E10">
        <v>68294.107699999993</v>
      </c>
      <c r="G10" s="11"/>
    </row>
    <row r="11" spans="1:7" x14ac:dyDescent="0.2">
      <c r="A11" t="s">
        <v>10</v>
      </c>
      <c r="B11">
        <v>2.7780999999999998</v>
      </c>
      <c r="C11">
        <v>366.77629999999999</v>
      </c>
      <c r="D11">
        <v>218.95089999999999</v>
      </c>
      <c r="E11">
        <v>70429.720100000006</v>
      </c>
      <c r="G11" s="11"/>
    </row>
    <row r="12" spans="1:7" x14ac:dyDescent="0.2">
      <c r="A12" t="s">
        <v>11</v>
      </c>
      <c r="B12">
        <v>2.7770999999999999</v>
      </c>
      <c r="C12">
        <v>380.8417</v>
      </c>
      <c r="D12">
        <v>218.9451</v>
      </c>
      <c r="E12">
        <v>72366.0674</v>
      </c>
      <c r="G12" s="11"/>
    </row>
    <row r="13" spans="1:7" x14ac:dyDescent="0.2">
      <c r="A13" t="s">
        <v>12</v>
      </c>
      <c r="B13">
        <v>2.7818999999999998</v>
      </c>
      <c r="C13">
        <v>386.59199999999998</v>
      </c>
      <c r="D13">
        <v>219.821</v>
      </c>
      <c r="E13">
        <v>73005.769700000004</v>
      </c>
      <c r="G13" s="11"/>
    </row>
    <row r="14" spans="1:7" x14ac:dyDescent="0.2">
      <c r="A14" t="s">
        <v>13</v>
      </c>
      <c r="B14">
        <v>2.7812999999999999</v>
      </c>
      <c r="C14">
        <v>343.55119999999999</v>
      </c>
      <c r="D14">
        <v>219.25299999999999</v>
      </c>
      <c r="E14">
        <v>67176.448000000004</v>
      </c>
      <c r="G14" s="11"/>
    </row>
    <row r="15" spans="1:7" x14ac:dyDescent="0.2">
      <c r="A15" t="s">
        <v>14</v>
      </c>
      <c r="B15">
        <v>2.7736000000000001</v>
      </c>
      <c r="C15">
        <v>354.28410000000002</v>
      </c>
      <c r="D15">
        <v>218.2132</v>
      </c>
      <c r="E15">
        <v>68703.417000000001</v>
      </c>
      <c r="G15" s="11"/>
    </row>
    <row r="16" spans="1:7" x14ac:dyDescent="0.2">
      <c r="A16" t="s">
        <v>15</v>
      </c>
      <c r="B16">
        <v>2.7675999999999998</v>
      </c>
      <c r="C16">
        <v>365.49200000000002</v>
      </c>
      <c r="D16">
        <v>217.41640000000001</v>
      </c>
      <c r="E16">
        <v>70294.192800000004</v>
      </c>
      <c r="G16" s="11"/>
    </row>
    <row r="17" spans="1:7" x14ac:dyDescent="0.2">
      <c r="A17" t="s">
        <v>16</v>
      </c>
      <c r="B17">
        <v>2.7639</v>
      </c>
      <c r="C17">
        <v>373.8014</v>
      </c>
      <c r="D17">
        <v>216.97749999999999</v>
      </c>
      <c r="E17">
        <v>71434.507299999997</v>
      </c>
      <c r="G17" s="11"/>
    </row>
    <row r="18" spans="1:7" x14ac:dyDescent="0.2">
      <c r="A18" t="s">
        <v>17</v>
      </c>
      <c r="B18">
        <v>2.7812000000000001</v>
      </c>
      <c r="C18">
        <v>351.47550000000001</v>
      </c>
      <c r="D18">
        <v>219.30940000000001</v>
      </c>
      <c r="E18">
        <v>68269.698099999994</v>
      </c>
      <c r="G18" s="11"/>
    </row>
    <row r="19" spans="1:7" x14ac:dyDescent="0.2">
      <c r="A19" t="s">
        <v>18</v>
      </c>
      <c r="B19">
        <v>2.7730000000000001</v>
      </c>
      <c r="C19">
        <v>373.76209999999998</v>
      </c>
      <c r="D19">
        <v>218.2329</v>
      </c>
      <c r="E19">
        <v>71452.447499999995</v>
      </c>
      <c r="G19" s="11"/>
    </row>
    <row r="20" spans="1:7" x14ac:dyDescent="0.2">
      <c r="A20" t="s">
        <v>19</v>
      </c>
      <c r="B20">
        <v>2.7595000000000001</v>
      </c>
      <c r="C20">
        <v>391.65109999999999</v>
      </c>
      <c r="D20">
        <v>217.87289999999999</v>
      </c>
      <c r="E20">
        <v>73948.0628</v>
      </c>
      <c r="G20" s="11"/>
    </row>
    <row r="21" spans="1:7" x14ac:dyDescent="0.2">
      <c r="A21" t="s">
        <v>20</v>
      </c>
      <c r="B21">
        <v>2.7791000000000001</v>
      </c>
      <c r="C21">
        <v>393.96789999999999</v>
      </c>
      <c r="D21">
        <v>219.5138</v>
      </c>
      <c r="E21">
        <v>73999.160900000003</v>
      </c>
      <c r="G21" s="11"/>
    </row>
    <row r="22" spans="1:7" x14ac:dyDescent="0.2">
      <c r="B22" s="11"/>
      <c r="C22" s="11"/>
      <c r="D22" s="11"/>
      <c r="E22" s="11"/>
      <c r="G22" s="11"/>
    </row>
  </sheetData>
  <autoFilter ref="A1:E1" xr:uid="{8DB49519-AED0-4C4A-998E-CE2BF93A56FA}">
    <sortState xmlns:xlrd2="http://schemas.microsoft.com/office/spreadsheetml/2017/richdata2" ref="A2:E21">
      <sortCondition ref="A1:A21"/>
    </sortState>
  </autoFilter>
  <sortState xmlns:xlrd2="http://schemas.microsoft.com/office/spreadsheetml/2017/richdata2" ref="A2:E21">
    <sortCondition ref="B1:B21"/>
  </sortState>
  <phoneticPr fontId="3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8485-309B-F445-B79C-9C2C3E315E2D}">
  <dimension ref="A1:E24"/>
  <sheetViews>
    <sheetView tabSelected="1" zoomScale="138" workbookViewId="0">
      <selection activeCell="C27" sqref="C27"/>
    </sheetView>
  </sheetViews>
  <sheetFormatPr baseColWidth="10" defaultRowHeight="16" x14ac:dyDescent="0.2"/>
  <cols>
    <col min="2" max="2" width="20.1640625" style="5" bestFit="1" customWidth="1"/>
    <col min="3" max="3" width="41.33203125" style="3" bestFit="1" customWidth="1"/>
    <col min="4" max="4" width="23.1640625" style="5" bestFit="1" customWidth="1"/>
    <col min="5" max="5" width="28.83203125" style="3" bestFit="1" customWidth="1"/>
  </cols>
  <sheetData>
    <row r="1" spans="1:5" ht="17" x14ac:dyDescent="0.2">
      <c r="A1" s="1" t="s">
        <v>0</v>
      </c>
      <c r="B1" s="4" t="s">
        <v>25</v>
      </c>
      <c r="C1" s="13" t="s">
        <v>34</v>
      </c>
      <c r="D1" s="4" t="s">
        <v>26</v>
      </c>
      <c r="E1" s="13" t="s">
        <v>35</v>
      </c>
    </row>
    <row r="2" spans="1:5" x14ac:dyDescent="0.2">
      <c r="A2" t="s">
        <v>1</v>
      </c>
      <c r="B2" s="12">
        <f>(3.12-'original data'!B2)/3.12</f>
        <v>0.10541666666666666</v>
      </c>
      <c r="C2" s="14">
        <v>348.64876073943401</v>
      </c>
      <c r="D2" s="12">
        <f>(289.79-'original data'!D2)/289.79</f>
        <v>0.23867386728320517</v>
      </c>
      <c r="E2" s="14">
        <v>73346.814291749994</v>
      </c>
    </row>
    <row r="3" spans="1:5" x14ac:dyDescent="0.2">
      <c r="A3" t="s">
        <v>2</v>
      </c>
      <c r="B3" s="12">
        <f>(3.12-'original data'!B3)/3.12</f>
        <v>0.12775641025641027</v>
      </c>
      <c r="C3" s="14">
        <v>446.70347600000002</v>
      </c>
      <c r="D3" s="12">
        <f>(289.79-'original data'!D3)/289.79</f>
        <v>0.27230408226646891</v>
      </c>
      <c r="E3" s="14">
        <v>87755.256999999998</v>
      </c>
    </row>
    <row r="4" spans="1:5" x14ac:dyDescent="0.2">
      <c r="A4" t="s">
        <v>3</v>
      </c>
      <c r="B4" s="12">
        <f>(3.12-'original data'!B4)/3.12</f>
        <v>0.14326923076923079</v>
      </c>
      <c r="C4" s="14">
        <v>531.05743833199995</v>
      </c>
      <c r="D4" s="12">
        <f>(289.79-'original data'!D4)/289.79</f>
        <v>0.2953742365160979</v>
      </c>
      <c r="E4" s="14">
        <v>99956.408769999995</v>
      </c>
    </row>
    <row r="5" spans="1:5" x14ac:dyDescent="0.2">
      <c r="A5" t="s">
        <v>4</v>
      </c>
      <c r="B5" s="12">
        <f>(3.12-'original data'!B5)/3.12</f>
        <v>0.15269230769230765</v>
      </c>
      <c r="C5" s="14">
        <v>571.7559</v>
      </c>
      <c r="D5" s="12">
        <f>(289.79-'original data'!D5)/289.79</f>
        <v>0.30882846198971675</v>
      </c>
      <c r="E5" s="14">
        <v>105188.34819999999</v>
      </c>
    </row>
    <row r="6" spans="1:5" x14ac:dyDescent="0.2">
      <c r="A6" t="s">
        <v>5</v>
      </c>
      <c r="B6" s="12">
        <f>(3.12-'original data'!B6)/3.12</f>
        <v>0.10839743589743592</v>
      </c>
      <c r="C6" s="14">
        <v>358.60109999999997</v>
      </c>
      <c r="D6" s="12">
        <f>(289.79-'original data'!D6)/289.79</f>
        <v>0.24318161427240423</v>
      </c>
      <c r="E6" s="14">
        <v>74723.28</v>
      </c>
    </row>
    <row r="7" spans="1:5" x14ac:dyDescent="0.2">
      <c r="A7" t="s">
        <v>6</v>
      </c>
      <c r="B7" s="12">
        <f>(3.12-'original data'!B7)/3.12</f>
        <v>0.11044871794871802</v>
      </c>
      <c r="C7" s="14">
        <v>358.60109999999997</v>
      </c>
      <c r="D7" s="12">
        <f>(289.79-'original data'!D7)/289.79</f>
        <v>0.24614306911901732</v>
      </c>
      <c r="E7" s="14">
        <v>74723.28</v>
      </c>
    </row>
    <row r="8" spans="1:5" x14ac:dyDescent="0.2">
      <c r="A8" t="s">
        <v>7</v>
      </c>
      <c r="B8" s="12">
        <f>(3.12-'original data'!B8)/3.12</f>
        <v>0.11301282051282059</v>
      </c>
      <c r="C8" s="14">
        <v>370.48599999999999</v>
      </c>
      <c r="D8" s="12">
        <f>(289.79-'original data'!D8)/289.79</f>
        <v>0.24996721764036031</v>
      </c>
      <c r="E8" s="14">
        <v>76257.626262999998</v>
      </c>
    </row>
    <row r="9" spans="1:5" x14ac:dyDescent="0.2">
      <c r="A9" t="s">
        <v>8</v>
      </c>
      <c r="B9" s="12">
        <f>(3.12-'original data'!B9)/3.12</f>
        <v>0.1125961538461539</v>
      </c>
      <c r="C9" s="14">
        <v>361.22199999999998</v>
      </c>
      <c r="D9" s="12">
        <f>(289.79-'original data'!D9)/289.79</f>
        <v>0.24894199247731119</v>
      </c>
      <c r="E9" s="14">
        <v>74717.115000000005</v>
      </c>
    </row>
    <row r="10" spans="1:5" x14ac:dyDescent="0.2">
      <c r="A10" t="s">
        <v>9</v>
      </c>
      <c r="B10" s="12">
        <f>(3.12-'original data'!B10)/3.12</f>
        <v>0.1087179487179487</v>
      </c>
      <c r="C10" s="14">
        <v>378.23070000000001</v>
      </c>
      <c r="D10" s="12">
        <f>(289.79-'original data'!D10)/289.79</f>
        <v>0.24352462127747687</v>
      </c>
      <c r="E10" s="14">
        <v>77701.13</v>
      </c>
    </row>
    <row r="11" spans="1:5" x14ac:dyDescent="0.2">
      <c r="A11" t="s">
        <v>10</v>
      </c>
      <c r="B11" s="12">
        <f>(3.12-'original data'!B11)/3.12</f>
        <v>0.10958333333333344</v>
      </c>
      <c r="C11" s="14">
        <v>378.23072000000002</v>
      </c>
      <c r="D11" s="12">
        <f>(289.79-'original data'!D11)/289.79</f>
        <v>0.2444497739742573</v>
      </c>
      <c r="E11" s="14">
        <v>77701.130048000006</v>
      </c>
    </row>
    <row r="12" spans="1:5" x14ac:dyDescent="0.2">
      <c r="A12" t="s">
        <v>11</v>
      </c>
      <c r="B12" s="5">
        <f>(3.12-'original data'!B12)/3.12</f>
        <v>0.10990384615384621</v>
      </c>
      <c r="C12" s="14">
        <v>420.09140000000002</v>
      </c>
      <c r="D12" s="12">
        <f>(289.79-'original data'!D12)/289.79</f>
        <v>0.24446978846751102</v>
      </c>
      <c r="E12" s="14">
        <v>83610.63</v>
      </c>
    </row>
    <row r="13" spans="1:5" x14ac:dyDescent="0.2">
      <c r="A13" t="s">
        <v>12</v>
      </c>
      <c r="B13" s="5">
        <f>(3.12-'original data'!B13)/3.12</f>
        <v>0.10836538461538471</v>
      </c>
      <c r="C13" s="14">
        <v>421.44</v>
      </c>
      <c r="D13" s="12">
        <f>(289.79-'original data'!D13)/289.79</f>
        <v>0.24144725490872707</v>
      </c>
      <c r="E13" s="14">
        <v>83535.791400000002</v>
      </c>
    </row>
    <row r="14" spans="1:5" x14ac:dyDescent="0.2">
      <c r="A14" t="s">
        <v>13</v>
      </c>
      <c r="B14" s="5">
        <f>(3.12-'original data'!B14)/3.12</f>
        <v>0.10855769230769237</v>
      </c>
      <c r="C14" s="14">
        <v>358.53615000000002</v>
      </c>
      <c r="D14" s="12">
        <f>(289.79-'original data'!D14)/289.79</f>
        <v>0.24340729493771363</v>
      </c>
      <c r="E14" s="14">
        <v>74724.6679</v>
      </c>
    </row>
    <row r="15" spans="1:5" x14ac:dyDescent="0.2">
      <c r="A15" t="s">
        <v>14</v>
      </c>
      <c r="B15" s="5">
        <f>(3.12-'original data'!B15)/3.12</f>
        <v>0.11102564102564104</v>
      </c>
      <c r="C15" s="14">
        <v>358.53615100000002</v>
      </c>
      <c r="D15" s="12">
        <f>(289.79-'original data'!D15)/289.79</f>
        <v>0.24699541046965048</v>
      </c>
      <c r="E15" s="14">
        <v>74724.6679</v>
      </c>
    </row>
    <row r="16" spans="1:5" x14ac:dyDescent="0.2">
      <c r="A16" t="s">
        <v>15</v>
      </c>
      <c r="B16" s="5">
        <f>(3.12-'original data'!B16)/3.12</f>
        <v>0.11294871794871802</v>
      </c>
      <c r="C16" s="14">
        <v>369.21024</v>
      </c>
      <c r="D16" s="12">
        <f>(289.79-'original data'!D16)/289.79</f>
        <v>0.24974498774974985</v>
      </c>
      <c r="E16" s="14">
        <v>76084.75</v>
      </c>
    </row>
    <row r="17" spans="1:5" x14ac:dyDescent="0.2">
      <c r="A17" t="s">
        <v>16</v>
      </c>
      <c r="B17" s="5">
        <f>(3.12-'original data'!B17)/3.12</f>
        <v>0.1141346153846154</v>
      </c>
      <c r="C17" s="14">
        <v>361.64337499999999</v>
      </c>
      <c r="D17" s="12">
        <f>(289.79-'original data'!D17)/289.79</f>
        <v>0.25125953276510582</v>
      </c>
      <c r="E17" s="14">
        <v>74836.812999999995</v>
      </c>
    </row>
    <row r="18" spans="1:5" x14ac:dyDescent="0.2">
      <c r="A18" t="s">
        <v>17</v>
      </c>
      <c r="B18" s="5">
        <f>(3.12-'original data'!B18)/3.12</f>
        <v>0.10858974358974359</v>
      </c>
      <c r="C18" s="14">
        <v>372.46879999999999</v>
      </c>
      <c r="D18" s="12">
        <f>(289.79-'original data'!D18)/289.79</f>
        <v>0.24321267124469445</v>
      </c>
      <c r="E18" s="14">
        <v>76816.309926000002</v>
      </c>
    </row>
    <row r="19" spans="1:5" x14ac:dyDescent="0.2">
      <c r="A19" t="s">
        <v>18</v>
      </c>
      <c r="B19" s="5">
        <f>(3.12-'original data'!B19)/3.12</f>
        <v>0.11121794871794871</v>
      </c>
      <c r="C19" s="14">
        <v>372.46880299999998</v>
      </c>
      <c r="D19" s="12">
        <f>(289.79-'original data'!D19)/289.79</f>
        <v>0.24692743020808178</v>
      </c>
      <c r="E19" s="14">
        <v>76816.309926000002</v>
      </c>
    </row>
    <row r="20" spans="1:5" x14ac:dyDescent="0.2">
      <c r="A20" t="s">
        <v>19</v>
      </c>
      <c r="B20" s="5">
        <f>(3.12-'original data'!B20)/3.12</f>
        <v>0.1155448717948718</v>
      </c>
      <c r="C20" s="14">
        <v>419.74610000000001</v>
      </c>
      <c r="D20" s="12">
        <f>(289.79-'original data'!D20)/289.79</f>
        <v>0.24816970909969299</v>
      </c>
      <c r="E20" s="14">
        <v>83677.707850000006</v>
      </c>
    </row>
    <row r="21" spans="1:5" x14ac:dyDescent="0.2">
      <c r="A21" t="s">
        <v>20</v>
      </c>
      <c r="B21" s="5">
        <f>(3.12-'original data'!B21)/3.12</f>
        <v>0.1092628205128205</v>
      </c>
      <c r="C21" s="14">
        <v>421.7251</v>
      </c>
      <c r="D21" s="12">
        <f>(289.79-'original data'!D21)/289.79</f>
        <v>0.24250733289623524</v>
      </c>
      <c r="E21" s="14">
        <v>83639.119000000006</v>
      </c>
    </row>
    <row r="22" spans="1:5" x14ac:dyDescent="0.2">
      <c r="C22" s="15"/>
    </row>
    <row r="23" spans="1:5" x14ac:dyDescent="0.2">
      <c r="A23" t="s">
        <v>27</v>
      </c>
      <c r="B23" s="5">
        <f>MIN(B2:B21)</f>
        <v>0.10541666666666666</v>
      </c>
      <c r="C23" s="6">
        <f>MIN(C2:C21)</f>
        <v>348.64876073943401</v>
      </c>
      <c r="D23" s="5">
        <f>MIN(D2:D21)</f>
        <v>0.23867386728320517</v>
      </c>
      <c r="E23" s="6">
        <f>MIN(E2:E21)</f>
        <v>73346.814291749994</v>
      </c>
    </row>
    <row r="24" spans="1:5" x14ac:dyDescent="0.2">
      <c r="A24" t="s">
        <v>28</v>
      </c>
      <c r="B24" s="5">
        <f>MAX(B2:B21)</f>
        <v>0.15269230769230765</v>
      </c>
      <c r="C24" s="6">
        <f t="shared" ref="C24:E24" si="0">MAX(C2:C21)</f>
        <v>571.7559</v>
      </c>
      <c r="D24" s="5">
        <f t="shared" si="0"/>
        <v>0.30882846198971675</v>
      </c>
      <c r="E24" s="6">
        <f t="shared" si="0"/>
        <v>105188.34819999999</v>
      </c>
    </row>
  </sheetData>
  <autoFilter ref="A1:G21" xr:uid="{CE938485-309B-F445-B79C-9C2C3E315E2D}">
    <sortState xmlns:xlrd2="http://schemas.microsoft.com/office/spreadsheetml/2017/richdata2" ref="A2:G21">
      <sortCondition ref="A1:A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AEBE-47A3-F847-BDA8-E8A5C6B4D20C}">
  <dimension ref="A1:E21"/>
  <sheetViews>
    <sheetView zoomScale="156" workbookViewId="0">
      <selection activeCell="B2" sqref="B2"/>
    </sheetView>
  </sheetViews>
  <sheetFormatPr baseColWidth="10" defaultRowHeight="16" x14ac:dyDescent="0.2"/>
  <cols>
    <col min="2" max="2" width="17.6640625" bestFit="1" customWidth="1"/>
    <col min="3" max="3" width="25.1640625" customWidth="1"/>
    <col min="4" max="4" width="20.6640625" bestFit="1" customWidth="1"/>
    <col min="5" max="5" width="17.5" customWidth="1"/>
  </cols>
  <sheetData>
    <row r="1" spans="1:5" ht="34" x14ac:dyDescent="0.2">
      <c r="A1" s="1" t="s">
        <v>0</v>
      </c>
      <c r="B1" s="4" t="s">
        <v>25</v>
      </c>
      <c r="C1" s="2" t="s">
        <v>23</v>
      </c>
      <c r="D1" s="4" t="s">
        <v>26</v>
      </c>
      <c r="E1" s="2" t="s">
        <v>24</v>
      </c>
    </row>
    <row r="2" spans="1:5" x14ac:dyDescent="0.2">
      <c r="A2" t="s">
        <v>1</v>
      </c>
      <c r="B2" s="6">
        <f>(ratio!B2-ratio!B$23)/(ratio!B$24-ratio!B$23)*9+1</f>
        <v>1</v>
      </c>
      <c r="C2" s="6">
        <f>(ratio!C2-ratio!C$23)/(ratio!C$24-ratio!C$23)*9+1</f>
        <v>1</v>
      </c>
      <c r="D2" s="6">
        <f>(ratio!D2-ratio!D$23)/(ratio!D$24-ratio!D$23)*9+1</f>
        <v>1</v>
      </c>
      <c r="E2" s="6">
        <f>(ratio!E2-ratio!E$23)/(ratio!E$24-ratio!E$23)*9+1</f>
        <v>1</v>
      </c>
    </row>
    <row r="3" spans="1:5" x14ac:dyDescent="0.2">
      <c r="A3" t="s">
        <v>2</v>
      </c>
      <c r="B3" s="6">
        <f>(ratio!B3-ratio!B$23)/(ratio!B$24-ratio!B$23)*9+1</f>
        <v>5.2528813559322094</v>
      </c>
      <c r="C3" s="6">
        <f>(ratio!C3-ratio!C$23)/(ratio!C$24-ratio!C$23)*9+1</f>
        <v>4.9554648061460487</v>
      </c>
      <c r="D3" s="6">
        <f>(ratio!D3-ratio!D$23)/(ratio!D$24-ratio!D$23)*9+1</f>
        <v>5.3143565452211261</v>
      </c>
      <c r="E3" s="6">
        <f>(ratio!E3-ratio!E$23)/(ratio!E$24-ratio!E$23)*9+1</f>
        <v>5.0725420059192423</v>
      </c>
    </row>
    <row r="4" spans="1:5" x14ac:dyDescent="0.2">
      <c r="A4" t="s">
        <v>3</v>
      </c>
      <c r="B4" s="6">
        <f>(ratio!B4-ratio!B$23)/(ratio!B$24-ratio!B$23)*9+1</f>
        <v>8.2061016949152634</v>
      </c>
      <c r="C4" s="6">
        <f>(ratio!C4-ratio!C$23)/(ratio!C$24-ratio!C$23)*9+1</f>
        <v>8.3582499590736248</v>
      </c>
      <c r="D4" s="6">
        <f>(ratio!D4-ratio!D$23)/(ratio!D$24-ratio!D$23)*9+1</f>
        <v>8.2739829120368285</v>
      </c>
      <c r="E4" s="6">
        <f>(ratio!E4-ratio!E$23)/(ratio!E$24-ratio!E$23)*9+1</f>
        <v>8.5211938907943185</v>
      </c>
    </row>
    <row r="5" spans="1:5" x14ac:dyDescent="0.2">
      <c r="A5" t="s">
        <v>4</v>
      </c>
      <c r="B5" s="6">
        <f>(ratio!B5-ratio!B$23)/(ratio!B$24-ratio!B$23)*9+1</f>
        <v>10</v>
      </c>
      <c r="C5" s="6">
        <f>(ratio!C5-ratio!C$23)/(ratio!C$24-ratio!C$23)*9+1</f>
        <v>10</v>
      </c>
      <c r="D5" s="6">
        <f>(ratio!D5-ratio!D$23)/(ratio!D$24-ratio!D$23)*9+1</f>
        <v>10</v>
      </c>
      <c r="E5" s="6">
        <f>(ratio!E5-ratio!E$23)/(ratio!E$24-ratio!E$23)*9+1</f>
        <v>10</v>
      </c>
    </row>
    <row r="6" spans="1:5" x14ac:dyDescent="0.2">
      <c r="A6" t="s">
        <v>5</v>
      </c>
      <c r="B6" s="6">
        <f>(ratio!B6-ratio!B$23)/(ratio!B$24-ratio!B$23)*9+1</f>
        <v>1.56745762711865</v>
      </c>
      <c r="C6" s="6">
        <f>(ratio!C6-ratio!C$23)/(ratio!C$24-ratio!C$23)*9+1</f>
        <v>1.4014710315499317</v>
      </c>
      <c r="D6" s="6">
        <f>(ratio!D6-ratio!D$23)/(ratio!D$24-ratio!D$23)*9+1</f>
        <v>1.5782903182965147</v>
      </c>
      <c r="E6" s="6">
        <f>(ratio!E6-ratio!E$23)/(ratio!E$24-ratio!E$23)*9+1</f>
        <v>1.3890576192072306</v>
      </c>
    </row>
    <row r="7" spans="1:5" x14ac:dyDescent="0.2">
      <c r="A7" t="s">
        <v>6</v>
      </c>
      <c r="B7" s="6">
        <f>(ratio!B7-ratio!B$23)/(ratio!B$24-ratio!B$23)*9+1</f>
        <v>1.9579661016949315</v>
      </c>
      <c r="C7" s="6">
        <f>(ratio!C7-ratio!C$23)/(ratio!C$24-ratio!C$23)*9+1</f>
        <v>1.4014710315499317</v>
      </c>
      <c r="D7" s="6">
        <f>(ratio!D7-ratio!D$23)/(ratio!D$24-ratio!D$23)*9+1</f>
        <v>1.9582097481074876</v>
      </c>
      <c r="E7" s="6">
        <f>(ratio!E7-ratio!E$23)/(ratio!E$24-ratio!E$23)*9+1</f>
        <v>1.3890576192072306</v>
      </c>
    </row>
    <row r="8" spans="1:5" x14ac:dyDescent="0.2">
      <c r="A8" t="s">
        <v>7</v>
      </c>
      <c r="B8" s="6">
        <f>(ratio!B8-ratio!B$23)/(ratio!B$24-ratio!B$23)*9+1</f>
        <v>2.4461016949152716</v>
      </c>
      <c r="C8" s="6">
        <f>(ratio!C8-ratio!C$23)/(ratio!C$24-ratio!C$23)*9+1</f>
        <v>1.8809003333396748</v>
      </c>
      <c r="D8" s="6">
        <f>(ratio!D8-ratio!D$23)/(ratio!D$24-ratio!D$23)*9+1</f>
        <v>2.4488025144982029</v>
      </c>
      <c r="E8" s="6">
        <f>(ratio!E8-ratio!E$23)/(ratio!E$24-ratio!E$23)*9+1</f>
        <v>1.8227401298171264</v>
      </c>
    </row>
    <row r="9" spans="1:5" x14ac:dyDescent="0.2">
      <c r="A9" t="s">
        <v>8</v>
      </c>
      <c r="B9" s="6">
        <f>(ratio!B9-ratio!B$23)/(ratio!B$24-ratio!B$23)*9+1</f>
        <v>2.3667796610169622</v>
      </c>
      <c r="C9" s="6">
        <f>(ratio!C9-ratio!C$23)/(ratio!C$24-ratio!C$23)*9+1</f>
        <v>1.5071964694636488</v>
      </c>
      <c r="D9" s="6">
        <f>(ratio!D9-ratio!D$23)/(ratio!D$24-ratio!D$23)*9+1</f>
        <v>2.3172783213068247</v>
      </c>
      <c r="E9" s="6">
        <f>(ratio!E9-ratio!E$23)/(ratio!E$24-ratio!E$23)*9+1</f>
        <v>1.3873150838080308</v>
      </c>
    </row>
    <row r="10" spans="1:5" x14ac:dyDescent="0.2">
      <c r="A10" t="s">
        <v>9</v>
      </c>
      <c r="B10" s="6">
        <f>(ratio!B10-ratio!B$23)/(ratio!B$24-ratio!B$23)*9+1</f>
        <v>1.6284745762711841</v>
      </c>
      <c r="C10" s="6">
        <f>(ratio!C10-ratio!C$23)/(ratio!C$24-ratio!C$23)*9+1</f>
        <v>2.1933166021825787</v>
      </c>
      <c r="D10" s="6">
        <f>(ratio!D10-ratio!D$23)/(ratio!D$24-ratio!D$23)*9+1</f>
        <v>1.6222940369206242</v>
      </c>
      <c r="E10" s="6">
        <f>(ratio!E10-ratio!E$23)/(ratio!E$24-ratio!E$23)*9+1</f>
        <v>2.2307460277250164</v>
      </c>
    </row>
    <row r="11" spans="1:5" x14ac:dyDescent="0.2">
      <c r="A11" t="s">
        <v>10</v>
      </c>
      <c r="B11" s="6">
        <f>(ratio!B11-ratio!B$23)/(ratio!B$24-ratio!B$23)*9+1</f>
        <v>1.7932203389830723</v>
      </c>
      <c r="C11" s="6">
        <f>(ratio!C11-ratio!C$23)/(ratio!C$24-ratio!C$23)*9+1</f>
        <v>2.1933174089698499</v>
      </c>
      <c r="D11" s="6">
        <f>(ratio!D11-ratio!D$23)/(ratio!D$24-ratio!D$23)*9+1</f>
        <v>1.7409801230687489</v>
      </c>
      <c r="E11" s="6">
        <f>(ratio!E11-ratio!E$23)/(ratio!E$24-ratio!E$23)*9+1</f>
        <v>2.2307460412922024</v>
      </c>
    </row>
    <row r="12" spans="1:5" x14ac:dyDescent="0.2">
      <c r="A12" t="s">
        <v>11</v>
      </c>
      <c r="B12" s="6">
        <f>(ratio!B12-ratio!B$23)/(ratio!B$24-ratio!B$23)*9+1</f>
        <v>1.8542372881356066</v>
      </c>
      <c r="C12" s="6">
        <f>(ratio!C12-ratio!C$23)/(ratio!C$24-ratio!C$23)*9+1</f>
        <v>3.8819505977088249</v>
      </c>
      <c r="D12" s="6">
        <f>(ratio!D12-ratio!D$23)/(ratio!D$24-ratio!D$23)*9+1</f>
        <v>1.7435477444773984</v>
      </c>
      <c r="E12" s="6">
        <f>(ratio!E12-ratio!E$23)/(ratio!E$24-ratio!E$23)*9+1</f>
        <v>3.9010644286303156</v>
      </c>
    </row>
    <row r="13" spans="1:5" x14ac:dyDescent="0.2">
      <c r="A13" t="s">
        <v>12</v>
      </c>
      <c r="B13" s="6">
        <f>(ratio!B13-ratio!B$23)/(ratio!B$24-ratio!B$23)*9+1</f>
        <v>1.5613559322034098</v>
      </c>
      <c r="C13" s="6">
        <f>(ratio!C13-ratio!C$23)/(ratio!C$24-ratio!C$23)*9+1</f>
        <v>3.936352263384904</v>
      </c>
      <c r="D13" s="6">
        <f>(ratio!D13-ratio!D$23)/(ratio!D$24-ratio!D$23)*9+1</f>
        <v>1.3557926424365805</v>
      </c>
      <c r="E13" s="6">
        <f>(ratio!E13-ratio!E$23)/(ratio!E$24-ratio!E$23)*9+1</f>
        <v>3.8799113208076577</v>
      </c>
    </row>
    <row r="14" spans="1:5" x14ac:dyDescent="0.2">
      <c r="A14" t="s">
        <v>13</v>
      </c>
      <c r="B14" s="6">
        <f>(ratio!B14-ratio!B$23)/(ratio!B$24-ratio!B$23)*9+1</f>
        <v>1.5979661016949289</v>
      </c>
      <c r="C14" s="6">
        <f>(ratio!C14-ratio!C$23)/(ratio!C$24-ratio!C$23)*9+1</f>
        <v>1.3988509898877197</v>
      </c>
      <c r="D14" s="6">
        <f>(ratio!D14-ratio!D$23)/(ratio!D$24-ratio!D$23)*9+1</f>
        <v>1.607242463145782</v>
      </c>
      <c r="E14" s="6">
        <f>(ratio!E14-ratio!E$23)/(ratio!E$24-ratio!E$23)*9+1</f>
        <v>1.3894499087255685</v>
      </c>
    </row>
    <row r="15" spans="1:5" x14ac:dyDescent="0.2">
      <c r="A15" t="s">
        <v>14</v>
      </c>
      <c r="B15" s="6">
        <f>(ratio!B15-ratio!B$23)/(ratio!B$24-ratio!B$23)*9+1</f>
        <v>2.0677966101694962</v>
      </c>
      <c r="C15" s="6">
        <f>(ratio!C15-ratio!C$23)/(ratio!C$24-ratio!C$23)*9+1</f>
        <v>1.3988510302270831</v>
      </c>
      <c r="D15" s="6">
        <f>(ratio!D15-ratio!D$23)/(ratio!D$24-ratio!D$23)*9+1</f>
        <v>2.0675550046482756</v>
      </c>
      <c r="E15" s="6">
        <f>(ratio!E15-ratio!E$23)/(ratio!E$24-ratio!E$23)*9+1</f>
        <v>1.3894499087255685</v>
      </c>
    </row>
    <row r="16" spans="1:5" x14ac:dyDescent="0.2">
      <c r="A16" t="s">
        <v>15</v>
      </c>
      <c r="B16" s="6">
        <f>(ratio!B16-ratio!B$23)/(ratio!B$24-ratio!B$23)*9+1</f>
        <v>2.4338983050847629</v>
      </c>
      <c r="C16" s="6">
        <f>(ratio!C16-ratio!C$23)/(ratio!C$24-ratio!C$23)*9+1</f>
        <v>1.8294369869041744</v>
      </c>
      <c r="D16" s="6">
        <f>(ratio!D16-ratio!D$23)/(ratio!D$24-ratio!D$23)*9+1</f>
        <v>2.4202930629952562</v>
      </c>
      <c r="E16" s="6">
        <f>(ratio!E16-ratio!E$23)/(ratio!E$24-ratio!E$23)*9+1</f>
        <v>1.7738767059794684</v>
      </c>
    </row>
    <row r="17" spans="1:5" x14ac:dyDescent="0.2">
      <c r="A17" t="s">
        <v>16</v>
      </c>
      <c r="B17" s="6">
        <f>(ratio!B17-ratio!B$23)/(ratio!B$24-ratio!B$23)*9+1</f>
        <v>2.6596610169491588</v>
      </c>
      <c r="C17" s="6">
        <f>(ratio!C17-ratio!C$23)/(ratio!C$24-ratio!C$23)*9+1</f>
        <v>1.5241944687772029</v>
      </c>
      <c r="D17" s="6">
        <f>(ratio!D17-ratio!D$23)/(ratio!D$24-ratio!D$23)*9+1</f>
        <v>2.6145911726946709</v>
      </c>
      <c r="E17" s="6">
        <f>(ratio!E17-ratio!E$23)/(ratio!E$24-ratio!E$23)*9+1</f>
        <v>1.4211476875734161</v>
      </c>
    </row>
    <row r="18" spans="1:5" x14ac:dyDescent="0.2">
      <c r="A18" t="s">
        <v>17</v>
      </c>
      <c r="B18" s="6">
        <f>(ratio!B18-ratio!B$23)/(ratio!B$24-ratio!B$23)*9+1</f>
        <v>1.6040677966101715</v>
      </c>
      <c r="C18" s="6">
        <f>(ratio!C18-ratio!C$23)/(ratio!C$24-ratio!C$23)*9+1</f>
        <v>1.9608852233756617</v>
      </c>
      <c r="D18" s="6">
        <f>(ratio!D18-ratio!D$23)/(ratio!D$24-ratio!D$23)*9+1</f>
        <v>1.5822745584133784</v>
      </c>
      <c r="E18" s="6">
        <f>(ratio!E18-ratio!E$23)/(ratio!E$24-ratio!E$23)*9+1</f>
        <v>1.9806518994413047</v>
      </c>
    </row>
    <row r="19" spans="1:5" x14ac:dyDescent="0.2">
      <c r="A19" t="s">
        <v>18</v>
      </c>
      <c r="B19" s="6">
        <f>(ratio!B19-ratio!B$23)/(ratio!B$24-ratio!B$23)*9+1</f>
        <v>2.104406779661018</v>
      </c>
      <c r="C19" s="6">
        <f>(ratio!C19-ratio!C$23)/(ratio!C$24-ratio!C$23)*9+1</f>
        <v>1.960885344393752</v>
      </c>
      <c r="D19" s="6">
        <f>(ratio!D19-ratio!D$23)/(ratio!D$24-ratio!D$23)*9+1</f>
        <v>2.0588339457257931</v>
      </c>
      <c r="E19" s="6">
        <f>(ratio!E19-ratio!E$23)/(ratio!E$24-ratio!E$23)*9+1</f>
        <v>1.9806518994413047</v>
      </c>
    </row>
    <row r="20" spans="1:5" x14ac:dyDescent="0.2">
      <c r="A20" t="s">
        <v>19</v>
      </c>
      <c r="B20" s="6">
        <f>(ratio!B20-ratio!B$23)/(ratio!B$24-ratio!B$23)*9+1</f>
        <v>2.9281355932203428</v>
      </c>
      <c r="C20" s="6">
        <f>(ratio!C20-ratio!C$23)/(ratio!C$24-ratio!C$23)*9+1</f>
        <v>3.8680214154769166</v>
      </c>
      <c r="D20" s="6">
        <f>(ratio!D20-ratio!D$23)/(ratio!D$24-ratio!D$23)*9+1</f>
        <v>2.218203550400641</v>
      </c>
      <c r="E20" s="6">
        <f>(ratio!E20-ratio!E$23)/(ratio!E$24-ratio!E$23)*9+1</f>
        <v>3.9200239627953324</v>
      </c>
    </row>
    <row r="21" spans="1:5" x14ac:dyDescent="0.2">
      <c r="A21" t="s">
        <v>20</v>
      </c>
      <c r="B21" s="6">
        <f>(ratio!B21-ratio!B$23)/(ratio!B$24-ratio!B$23)*9+1</f>
        <v>1.7322033898305089</v>
      </c>
      <c r="C21" s="6">
        <f>(ratio!C21-ratio!C$23)/(ratio!C$24-ratio!C$23)*9+1</f>
        <v>3.9478530159314342</v>
      </c>
      <c r="D21" s="6">
        <f>(ratio!D21-ratio!D$23)/(ratio!D$24-ratio!D$23)*9+1</f>
        <v>1.4917880384257767</v>
      </c>
      <c r="E21" s="6">
        <f>(ratio!E21-ratio!E$23)/(ratio!E$24-ratio!E$23)*9+1</f>
        <v>3.9091168359276152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DDFC-4A74-D34E-A297-933C018192FC}">
  <dimension ref="A1:U41"/>
  <sheetViews>
    <sheetView zoomScale="136" zoomScaleNormal="100" workbookViewId="0">
      <selection activeCell="H25" sqref="H25"/>
    </sheetView>
  </sheetViews>
  <sheetFormatPr baseColWidth="10" defaultColWidth="17.6640625" defaultRowHeight="16" x14ac:dyDescent="0.2"/>
  <cols>
    <col min="1" max="1" width="8.33203125" bestFit="1" customWidth="1"/>
    <col min="2" max="5" width="3.5" bestFit="1" customWidth="1"/>
    <col min="6" max="6" width="3.1640625" bestFit="1" customWidth="1"/>
  </cols>
  <sheetData>
    <row r="1" spans="1:21" ht="17" x14ac:dyDescent="0.2">
      <c r="A1" s="1" t="s">
        <v>0</v>
      </c>
      <c r="B1" s="4" t="s">
        <v>29</v>
      </c>
      <c r="C1" s="2" t="s">
        <v>30</v>
      </c>
      <c r="D1" s="4" t="s">
        <v>31</v>
      </c>
      <c r="E1" s="2" t="s">
        <v>32</v>
      </c>
    </row>
    <row r="2" spans="1:21" x14ac:dyDescent="0.2">
      <c r="A2" t="s">
        <v>1</v>
      </c>
      <c r="B2" s="6">
        <f>(ratio!B2-ratio!B$23)/(ratio!B$24-ratio!B$23)*9+1</f>
        <v>1</v>
      </c>
      <c r="C2" s="6">
        <f>(ratio!C2-ratio!C$23)/(ratio!C$24-ratio!C$23)*9+1</f>
        <v>1</v>
      </c>
      <c r="D2" s="6">
        <f>(ratio!D2-ratio!D$23)/(ratio!D$24-ratio!D$23)*9+1</f>
        <v>1</v>
      </c>
      <c r="E2" s="6">
        <f>(ratio!E2-ratio!E$23)/(ratio!E$24-ratio!E$23)*9+1</f>
        <v>1</v>
      </c>
      <c r="F2" s="3">
        <f>SUM(B2:E2)</f>
        <v>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">
      <c r="A3" t="s">
        <v>2</v>
      </c>
      <c r="B3" s="6">
        <f>(ratio!B3-ratio!B$23)/(ratio!B$24-ratio!B$23)*9+1</f>
        <v>5.2528813559322094</v>
      </c>
      <c r="C3" s="6">
        <f>(ratio!C3-ratio!C$23)/(ratio!C$24-ratio!C$23)*9+1</f>
        <v>4.9554648061460487</v>
      </c>
      <c r="D3" s="6">
        <f>(ratio!D3-ratio!D$23)/(ratio!D$24-ratio!D$23)*9+1</f>
        <v>5.3143565452211261</v>
      </c>
      <c r="E3" s="6">
        <f>(ratio!E3-ratio!E$23)/(ratio!E$24-ratio!E$23)*9+1</f>
        <v>5.0725420059192423</v>
      </c>
      <c r="F3" s="3">
        <f t="shared" ref="F3:F21" si="0">SUM(B3:E3)</f>
        <v>20.595244713218626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t="s">
        <v>3</v>
      </c>
      <c r="B4" s="6">
        <f>(ratio!B4-ratio!B$23)/(ratio!B$24-ratio!B$23)*9+1</f>
        <v>8.2061016949152634</v>
      </c>
      <c r="C4" s="6">
        <f>(ratio!C4-ratio!C$23)/(ratio!C$24-ratio!C$23)*9+1</f>
        <v>8.3582499590736248</v>
      </c>
      <c r="D4" s="6">
        <f>(ratio!D4-ratio!D$23)/(ratio!D$24-ratio!D$23)*9+1</f>
        <v>8.2739829120368285</v>
      </c>
      <c r="E4" s="6">
        <f>(ratio!E4-ratio!E$23)/(ratio!E$24-ratio!E$23)*9+1</f>
        <v>8.5211938907943185</v>
      </c>
      <c r="F4" s="3">
        <f t="shared" si="0"/>
        <v>33.35952845682003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">
      <c r="A5" t="s">
        <v>4</v>
      </c>
      <c r="B5" s="6">
        <f>(ratio!B5-ratio!B$23)/(ratio!B$24-ratio!B$23)*9+1</f>
        <v>10</v>
      </c>
      <c r="C5" s="6">
        <f>(ratio!C5-ratio!C$23)/(ratio!C$24-ratio!C$23)*9+1</f>
        <v>10</v>
      </c>
      <c r="D5" s="6">
        <f>(ratio!D5-ratio!D$23)/(ratio!D$24-ratio!D$23)*9+1</f>
        <v>10</v>
      </c>
      <c r="E5" s="6">
        <f>(ratio!E5-ratio!E$23)/(ratio!E$24-ratio!E$23)*9+1</f>
        <v>10</v>
      </c>
      <c r="F5" s="3">
        <f t="shared" si="0"/>
        <v>40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">
      <c r="A6" t="s">
        <v>5</v>
      </c>
      <c r="B6" s="6">
        <f>(ratio!B6-ratio!B$23)/(ratio!B$24-ratio!B$23)*9+1</f>
        <v>1.56745762711865</v>
      </c>
      <c r="C6" s="6">
        <f>(ratio!C6-ratio!C$23)/(ratio!C$24-ratio!C$23)*9+1</f>
        <v>1.4014710315499317</v>
      </c>
      <c r="D6" s="6">
        <f>(ratio!D6-ratio!D$23)/(ratio!D$24-ratio!D$23)*9+1</f>
        <v>1.5782903182965147</v>
      </c>
      <c r="E6" s="6">
        <f>(ratio!E6-ratio!E$23)/(ratio!E$24-ratio!E$23)*9+1</f>
        <v>1.3890576192072306</v>
      </c>
      <c r="F6" s="3">
        <f t="shared" si="0"/>
        <v>5.9362765961723269</v>
      </c>
    </row>
    <row r="7" spans="1:21" x14ac:dyDescent="0.2">
      <c r="A7" t="s">
        <v>6</v>
      </c>
      <c r="B7" s="6">
        <f>(ratio!B7-ratio!B$23)/(ratio!B$24-ratio!B$23)*9+1</f>
        <v>1.9579661016949315</v>
      </c>
      <c r="C7" s="6">
        <f>(ratio!C7-ratio!C$23)/(ratio!C$24-ratio!C$23)*9+1</f>
        <v>1.4014710315499317</v>
      </c>
      <c r="D7" s="6">
        <f>(ratio!D7-ratio!D$23)/(ratio!D$24-ratio!D$23)*9+1</f>
        <v>1.9582097481074876</v>
      </c>
      <c r="E7" s="6">
        <f>(ratio!E7-ratio!E$23)/(ratio!E$24-ratio!E$23)*9+1</f>
        <v>1.3890576192072306</v>
      </c>
      <c r="F7" s="3">
        <f t="shared" si="0"/>
        <v>6.7067045005595816</v>
      </c>
    </row>
    <row r="8" spans="1:21" x14ac:dyDescent="0.2">
      <c r="A8" t="s">
        <v>7</v>
      </c>
      <c r="B8" s="6">
        <f>(ratio!B8-ratio!B$23)/(ratio!B$24-ratio!B$23)*9+1</f>
        <v>2.4461016949152716</v>
      </c>
      <c r="C8" s="6">
        <f>(ratio!C8-ratio!C$23)/(ratio!C$24-ratio!C$23)*9+1</f>
        <v>1.8809003333396748</v>
      </c>
      <c r="D8" s="6">
        <f>(ratio!D8-ratio!D$23)/(ratio!D$24-ratio!D$23)*9+1</f>
        <v>2.4488025144982029</v>
      </c>
      <c r="E8" s="6">
        <f>(ratio!E8-ratio!E$23)/(ratio!E$24-ratio!E$23)*9+1</f>
        <v>1.8227401298171264</v>
      </c>
      <c r="F8" s="3">
        <f t="shared" si="0"/>
        <v>8.5985446725702754</v>
      </c>
    </row>
    <row r="9" spans="1:21" x14ac:dyDescent="0.2">
      <c r="A9" t="s">
        <v>8</v>
      </c>
      <c r="B9" s="6">
        <f>(ratio!B9-ratio!B$23)/(ratio!B$24-ratio!B$23)*9+1</f>
        <v>2.3667796610169622</v>
      </c>
      <c r="C9" s="6">
        <f>(ratio!C9-ratio!C$23)/(ratio!C$24-ratio!C$23)*9+1</f>
        <v>1.5071964694636488</v>
      </c>
      <c r="D9" s="6">
        <f>(ratio!D9-ratio!D$23)/(ratio!D$24-ratio!D$23)*9+1</f>
        <v>2.3172783213068247</v>
      </c>
      <c r="E9" s="6">
        <f>(ratio!E9-ratio!E$23)/(ratio!E$24-ratio!E$23)*9+1</f>
        <v>1.3873150838080308</v>
      </c>
      <c r="F9" s="3">
        <f t="shared" si="0"/>
        <v>7.5785695355954665</v>
      </c>
    </row>
    <row r="10" spans="1:21" x14ac:dyDescent="0.2">
      <c r="A10" t="s">
        <v>9</v>
      </c>
      <c r="B10" s="6">
        <f>(ratio!B10-ratio!B$23)/(ratio!B$24-ratio!B$23)*9+1</f>
        <v>1.6284745762711841</v>
      </c>
      <c r="C10" s="6">
        <f>(ratio!C10-ratio!C$23)/(ratio!C$24-ratio!C$23)*9+1</f>
        <v>2.1933166021825787</v>
      </c>
      <c r="D10" s="6">
        <f>(ratio!D10-ratio!D$23)/(ratio!D$24-ratio!D$23)*9+1</f>
        <v>1.6222940369206242</v>
      </c>
      <c r="E10" s="6">
        <f>(ratio!E10-ratio!E$23)/(ratio!E$24-ratio!E$23)*9+1</f>
        <v>2.2307460277250164</v>
      </c>
      <c r="F10" s="3">
        <f t="shared" si="0"/>
        <v>7.674831243099403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">
      <c r="A11" t="s">
        <v>10</v>
      </c>
      <c r="B11" s="6">
        <f>(ratio!B11-ratio!B$23)/(ratio!B$24-ratio!B$23)*9+1</f>
        <v>1.7932203389830723</v>
      </c>
      <c r="C11" s="6">
        <f>(ratio!C11-ratio!C$23)/(ratio!C$24-ratio!C$23)*9+1</f>
        <v>2.1933174089698499</v>
      </c>
      <c r="D11" s="6">
        <f>(ratio!D11-ratio!D$23)/(ratio!D$24-ratio!D$23)*9+1</f>
        <v>1.7409801230687489</v>
      </c>
      <c r="E11" s="6">
        <f>(ratio!E11-ratio!E$23)/(ratio!E$24-ratio!E$23)*9+1</f>
        <v>2.2307460412922024</v>
      </c>
      <c r="F11" s="3">
        <f t="shared" si="0"/>
        <v>7.9582639123138739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A12" t="s">
        <v>11</v>
      </c>
      <c r="B12" s="6">
        <f>(ratio!B12-ratio!B$23)/(ratio!B$24-ratio!B$23)*9+1</f>
        <v>1.8542372881356066</v>
      </c>
      <c r="C12" s="6">
        <f>(ratio!C12-ratio!C$23)/(ratio!C$24-ratio!C$23)*9+1</f>
        <v>3.8819505977088249</v>
      </c>
      <c r="D12" s="6">
        <f>(ratio!D12-ratio!D$23)/(ratio!D$24-ratio!D$23)*9+1</f>
        <v>1.7435477444773984</v>
      </c>
      <c r="E12" s="6">
        <f>(ratio!E12-ratio!E$23)/(ratio!E$24-ratio!E$23)*9+1</f>
        <v>3.9010644286303156</v>
      </c>
      <c r="F12" s="10">
        <f t="shared" si="0"/>
        <v>11.380800058952145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">
      <c r="A13" t="s">
        <v>12</v>
      </c>
      <c r="B13" s="6">
        <f>(ratio!B13-ratio!B$23)/(ratio!B$24-ratio!B$23)*9+1</f>
        <v>1.5613559322034098</v>
      </c>
      <c r="C13" s="6">
        <f>(ratio!C13-ratio!C$23)/(ratio!C$24-ratio!C$23)*9+1</f>
        <v>3.936352263384904</v>
      </c>
      <c r="D13" s="6">
        <f>(ratio!D13-ratio!D$23)/(ratio!D$24-ratio!D$23)*9+1</f>
        <v>1.3557926424365805</v>
      </c>
      <c r="E13" s="6">
        <f>(ratio!E13-ratio!E$23)/(ratio!E$24-ratio!E$23)*9+1</f>
        <v>3.8799113208076577</v>
      </c>
      <c r="F13" s="3">
        <f t="shared" si="0"/>
        <v>10.733412158832552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">
      <c r="A14" t="s">
        <v>13</v>
      </c>
      <c r="B14" s="6">
        <f>(ratio!B14-ratio!B$23)/(ratio!B$24-ratio!B$23)*9+1</f>
        <v>1.5979661016949289</v>
      </c>
      <c r="C14" s="6">
        <f>(ratio!C14-ratio!C$23)/(ratio!C$24-ratio!C$23)*9+1</f>
        <v>1.3988509898877197</v>
      </c>
      <c r="D14" s="6">
        <f>(ratio!D14-ratio!D$23)/(ratio!D$24-ratio!D$23)*9+1</f>
        <v>1.607242463145782</v>
      </c>
      <c r="E14" s="6">
        <f>(ratio!E14-ratio!E$23)/(ratio!E$24-ratio!E$23)*9+1</f>
        <v>1.3894499087255685</v>
      </c>
      <c r="F14" s="3">
        <f t="shared" si="0"/>
        <v>5.9935094634539992</v>
      </c>
    </row>
    <row r="15" spans="1:21" x14ac:dyDescent="0.2">
      <c r="A15" t="s">
        <v>14</v>
      </c>
      <c r="B15" s="6">
        <f>(ratio!B15-ratio!B$23)/(ratio!B$24-ratio!B$23)*9+1</f>
        <v>2.0677966101694962</v>
      </c>
      <c r="C15" s="6">
        <f>(ratio!C15-ratio!C$23)/(ratio!C$24-ratio!C$23)*9+1</f>
        <v>1.3988510302270831</v>
      </c>
      <c r="D15" s="6">
        <f>(ratio!D15-ratio!D$23)/(ratio!D$24-ratio!D$23)*9+1</f>
        <v>2.0675550046482756</v>
      </c>
      <c r="E15" s="6">
        <f>(ratio!E15-ratio!E$23)/(ratio!E$24-ratio!E$23)*9+1</f>
        <v>1.3894499087255685</v>
      </c>
      <c r="F15" s="3">
        <f t="shared" si="0"/>
        <v>6.9236525537704239</v>
      </c>
    </row>
    <row r="16" spans="1:21" x14ac:dyDescent="0.2">
      <c r="A16" t="s">
        <v>15</v>
      </c>
      <c r="B16" s="6">
        <f>(ratio!B16-ratio!B$23)/(ratio!B$24-ratio!B$23)*9+1</f>
        <v>2.4338983050847629</v>
      </c>
      <c r="C16" s="6">
        <f>(ratio!C16-ratio!C$23)/(ratio!C$24-ratio!C$23)*9+1</f>
        <v>1.8294369869041744</v>
      </c>
      <c r="D16" s="6">
        <f>(ratio!D16-ratio!D$23)/(ratio!D$24-ratio!D$23)*9+1</f>
        <v>2.4202930629952562</v>
      </c>
      <c r="E16" s="6">
        <f>(ratio!E16-ratio!E$23)/(ratio!E$24-ratio!E$23)*9+1</f>
        <v>1.7738767059794684</v>
      </c>
      <c r="F16" s="3">
        <f t="shared" si="0"/>
        <v>8.4575050609636619</v>
      </c>
    </row>
    <row r="17" spans="1:21" x14ac:dyDescent="0.2">
      <c r="A17" t="s">
        <v>16</v>
      </c>
      <c r="B17" s="6">
        <f>(ratio!B17-ratio!B$23)/(ratio!B$24-ratio!B$23)*9+1</f>
        <v>2.6596610169491588</v>
      </c>
      <c r="C17" s="6">
        <f>(ratio!C17-ratio!C$23)/(ratio!C$24-ratio!C$23)*9+1</f>
        <v>1.5241944687772029</v>
      </c>
      <c r="D17" s="6">
        <f>(ratio!D17-ratio!D$23)/(ratio!D$24-ratio!D$23)*9+1</f>
        <v>2.6145911726946709</v>
      </c>
      <c r="E17" s="6">
        <f>(ratio!E17-ratio!E$23)/(ratio!E$24-ratio!E$23)*9+1</f>
        <v>1.4211476875734161</v>
      </c>
      <c r="F17" s="3">
        <f t="shared" si="0"/>
        <v>8.219594345994448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">
      <c r="A18" t="s">
        <v>17</v>
      </c>
      <c r="B18" s="6">
        <f>(ratio!B18-ratio!B$23)/(ratio!B$24-ratio!B$23)*9+1</f>
        <v>1.6040677966101715</v>
      </c>
      <c r="C18" s="6">
        <f>(ratio!C18-ratio!C$23)/(ratio!C$24-ratio!C$23)*9+1</f>
        <v>1.9608852233756617</v>
      </c>
      <c r="D18" s="6">
        <f>(ratio!D18-ratio!D$23)/(ratio!D$24-ratio!D$23)*9+1</f>
        <v>1.5822745584133784</v>
      </c>
      <c r="E18" s="6">
        <f>(ratio!E18-ratio!E$23)/(ratio!E$24-ratio!E$23)*9+1</f>
        <v>1.9806518994413047</v>
      </c>
      <c r="F18" s="3">
        <f t="shared" si="0"/>
        <v>7.1278794778405166</v>
      </c>
    </row>
    <row r="19" spans="1:21" x14ac:dyDescent="0.2">
      <c r="A19" t="s">
        <v>18</v>
      </c>
      <c r="B19" s="6">
        <f>(ratio!B19-ratio!B$23)/(ratio!B$24-ratio!B$23)*9+1</f>
        <v>2.104406779661018</v>
      </c>
      <c r="C19" s="6">
        <f>(ratio!C19-ratio!C$23)/(ratio!C$24-ratio!C$23)*9+1</f>
        <v>1.960885344393752</v>
      </c>
      <c r="D19" s="6">
        <f>(ratio!D19-ratio!D$23)/(ratio!D$24-ratio!D$23)*9+1</f>
        <v>2.0588339457257931</v>
      </c>
      <c r="E19" s="6">
        <f>(ratio!E19-ratio!E$23)/(ratio!E$24-ratio!E$23)*9+1</f>
        <v>1.9806518994413047</v>
      </c>
      <c r="F19" s="3">
        <f t="shared" si="0"/>
        <v>8.1047779692218676</v>
      </c>
    </row>
    <row r="20" spans="1:21" x14ac:dyDescent="0.2">
      <c r="A20" t="s">
        <v>19</v>
      </c>
      <c r="B20" s="6">
        <f>(ratio!B20-ratio!B$23)/(ratio!B$24-ratio!B$23)*9+1</f>
        <v>2.9281355932203428</v>
      </c>
      <c r="C20" s="6">
        <f>(ratio!C20-ratio!C$23)/(ratio!C$24-ratio!C$23)*9+1</f>
        <v>3.8680214154769166</v>
      </c>
      <c r="D20" s="6">
        <f>(ratio!D20-ratio!D$23)/(ratio!D$24-ratio!D$23)*9+1</f>
        <v>2.218203550400641</v>
      </c>
      <c r="E20" s="6">
        <f>(ratio!E20-ratio!E$23)/(ratio!E$24-ratio!E$23)*9+1</f>
        <v>3.9200239627953324</v>
      </c>
      <c r="F20" s="10">
        <f t="shared" si="0"/>
        <v>12.934384521893232</v>
      </c>
    </row>
    <row r="21" spans="1:21" x14ac:dyDescent="0.2">
      <c r="A21" t="s">
        <v>20</v>
      </c>
      <c r="B21" s="6">
        <f>(ratio!B21-ratio!B$23)/(ratio!B$24-ratio!B$23)*9+1</f>
        <v>1.7322033898305089</v>
      </c>
      <c r="C21" s="6">
        <f>(ratio!C21-ratio!C$23)/(ratio!C$24-ratio!C$23)*9+1</f>
        <v>3.9478530159314342</v>
      </c>
      <c r="D21" s="6">
        <f>(ratio!D21-ratio!D$23)/(ratio!D$24-ratio!D$23)*9+1</f>
        <v>1.4917880384257767</v>
      </c>
      <c r="E21" s="6">
        <f>(ratio!E21-ratio!E$23)/(ratio!E$24-ratio!E$23)*9+1</f>
        <v>3.9091168359276152</v>
      </c>
      <c r="F21" s="10">
        <f t="shared" si="0"/>
        <v>11.080961280115336</v>
      </c>
      <c r="J21" s="7"/>
      <c r="K21" s="8"/>
      <c r="L21" s="7"/>
      <c r="M21" s="8"/>
      <c r="N21" s="7"/>
    </row>
    <row r="22" spans="1:21" x14ac:dyDescent="0.2">
      <c r="B22" s="3"/>
      <c r="C22" s="3"/>
      <c r="D22" s="3"/>
      <c r="E22" s="3"/>
      <c r="J22" s="7"/>
      <c r="K22" s="9"/>
      <c r="L22" s="9"/>
      <c r="M22" s="9"/>
      <c r="N22" s="9"/>
    </row>
    <row r="23" spans="1:21" x14ac:dyDescent="0.2">
      <c r="B23" s="3"/>
      <c r="C23" s="3"/>
      <c r="D23" s="3"/>
      <c r="E23" s="3"/>
      <c r="J23" s="7"/>
      <c r="K23" s="9"/>
      <c r="L23" s="9"/>
      <c r="M23" s="9"/>
      <c r="N23" s="9"/>
    </row>
    <row r="24" spans="1:21" x14ac:dyDescent="0.2">
      <c r="B24" s="3"/>
      <c r="C24" s="3"/>
      <c r="D24" s="3"/>
      <c r="E24" s="3"/>
      <c r="J24" s="7"/>
      <c r="K24" s="9"/>
      <c r="L24" s="9"/>
      <c r="M24" s="9"/>
      <c r="N24" s="9"/>
    </row>
    <row r="25" spans="1:21" x14ac:dyDescent="0.2">
      <c r="B25" s="3"/>
      <c r="C25" s="3"/>
      <c r="D25" s="3"/>
      <c r="E25" s="3"/>
      <c r="J25" s="7"/>
      <c r="K25" s="9"/>
      <c r="L25" s="9"/>
      <c r="M25" s="9"/>
      <c r="N25" s="9"/>
    </row>
    <row r="26" spans="1:21" x14ac:dyDescent="0.2">
      <c r="B26" s="3"/>
      <c r="C26" s="3"/>
      <c r="D26" s="3"/>
      <c r="E26" s="3"/>
      <c r="J26" s="7"/>
      <c r="K26" s="9"/>
      <c r="L26" s="9"/>
      <c r="M26" s="9"/>
      <c r="N26" s="9"/>
    </row>
    <row r="27" spans="1:21" x14ac:dyDescent="0.2">
      <c r="B27" s="3"/>
      <c r="C27" s="3"/>
      <c r="D27" s="3"/>
      <c r="E27" s="3"/>
      <c r="J27" s="7"/>
      <c r="K27" s="9"/>
      <c r="L27" s="9"/>
      <c r="M27" s="9"/>
      <c r="N27" s="9"/>
    </row>
    <row r="28" spans="1:21" x14ac:dyDescent="0.2">
      <c r="B28" s="3"/>
      <c r="C28" s="3"/>
      <c r="D28" s="3"/>
      <c r="E28" s="3"/>
      <c r="J28" s="7"/>
      <c r="K28" s="9"/>
      <c r="L28" s="9"/>
      <c r="M28" s="9"/>
      <c r="N28" s="9"/>
    </row>
    <row r="29" spans="1:21" x14ac:dyDescent="0.2">
      <c r="B29" s="3"/>
      <c r="C29" s="3"/>
      <c r="D29" s="3"/>
      <c r="E29" s="3"/>
      <c r="J29" s="7"/>
      <c r="K29" s="9"/>
      <c r="L29" s="9"/>
      <c r="M29" s="9"/>
      <c r="N29" s="9"/>
    </row>
    <row r="30" spans="1:21" x14ac:dyDescent="0.2">
      <c r="B30" s="3"/>
      <c r="C30" s="3"/>
      <c r="D30" s="3"/>
      <c r="E30" s="3"/>
      <c r="J30" s="7"/>
      <c r="K30" s="9"/>
      <c r="L30" s="9"/>
      <c r="M30" s="9"/>
      <c r="N30" s="9"/>
    </row>
    <row r="31" spans="1:21" x14ac:dyDescent="0.2">
      <c r="B31" s="3"/>
      <c r="C31" s="3"/>
      <c r="D31" s="3"/>
      <c r="E31" s="3"/>
      <c r="J31" s="7"/>
      <c r="K31" s="9"/>
      <c r="L31" s="9"/>
      <c r="M31" s="9"/>
      <c r="N31" s="9"/>
    </row>
    <row r="32" spans="1:21" x14ac:dyDescent="0.2">
      <c r="B32" s="3"/>
      <c r="C32" s="3"/>
      <c r="D32" s="3"/>
      <c r="E32" s="3"/>
      <c r="J32" s="7"/>
      <c r="K32" s="9"/>
      <c r="L32" s="9"/>
      <c r="M32" s="9"/>
      <c r="N32" s="9"/>
    </row>
    <row r="33" spans="2:14" x14ac:dyDescent="0.2">
      <c r="B33" s="3"/>
      <c r="C33" s="3"/>
      <c r="D33" s="3"/>
      <c r="E33" s="3"/>
      <c r="J33" s="7"/>
      <c r="K33" s="9"/>
      <c r="L33" s="9"/>
      <c r="M33" s="9"/>
      <c r="N33" s="9"/>
    </row>
    <row r="34" spans="2:14" x14ac:dyDescent="0.2">
      <c r="B34" s="3"/>
      <c r="C34" s="3"/>
      <c r="D34" s="3"/>
      <c r="E34" s="3"/>
      <c r="J34" s="7"/>
      <c r="K34" s="9"/>
      <c r="L34" s="9"/>
      <c r="M34" s="9"/>
      <c r="N34" s="9"/>
    </row>
    <row r="35" spans="2:14" x14ac:dyDescent="0.2">
      <c r="B35" s="3"/>
      <c r="C35" s="3"/>
      <c r="D35" s="3"/>
      <c r="E35" s="3"/>
      <c r="J35" s="7"/>
      <c r="K35" s="9"/>
      <c r="L35" s="9"/>
      <c r="M35" s="9"/>
      <c r="N35" s="9"/>
    </row>
    <row r="36" spans="2:14" x14ac:dyDescent="0.2">
      <c r="B36" s="3"/>
      <c r="C36" s="3"/>
      <c r="D36" s="3"/>
      <c r="E36" s="3"/>
      <c r="J36" s="7"/>
      <c r="K36" s="9"/>
      <c r="L36" s="9"/>
      <c r="M36" s="9"/>
      <c r="N36" s="9"/>
    </row>
    <row r="37" spans="2:14" x14ac:dyDescent="0.2">
      <c r="B37" s="3"/>
      <c r="C37" s="3"/>
      <c r="D37" s="3"/>
      <c r="E37" s="3"/>
      <c r="J37" s="7"/>
      <c r="K37" s="9"/>
      <c r="L37" s="9"/>
      <c r="M37" s="9"/>
      <c r="N37" s="9"/>
    </row>
    <row r="38" spans="2:14" x14ac:dyDescent="0.2">
      <c r="B38" s="3"/>
      <c r="C38" s="3"/>
      <c r="D38" s="3"/>
      <c r="E38" s="3"/>
      <c r="J38" s="7"/>
      <c r="K38" s="9"/>
      <c r="L38" s="9"/>
      <c r="M38" s="9"/>
      <c r="N38" s="9"/>
    </row>
    <row r="39" spans="2:14" x14ac:dyDescent="0.2">
      <c r="B39" s="3"/>
      <c r="C39" s="3"/>
      <c r="D39" s="3"/>
      <c r="E39" s="3"/>
      <c r="J39" s="7"/>
      <c r="K39" s="9"/>
      <c r="L39" s="9"/>
      <c r="M39" s="9"/>
      <c r="N39" s="9"/>
    </row>
    <row r="40" spans="2:14" x14ac:dyDescent="0.2">
      <c r="B40" s="3"/>
      <c r="C40" s="3"/>
      <c r="D40" s="3"/>
      <c r="E40" s="3"/>
      <c r="J40" s="7"/>
      <c r="K40" s="9"/>
      <c r="L40" s="9"/>
      <c r="M40" s="9"/>
      <c r="N40" s="9"/>
    </row>
    <row r="41" spans="2:14" x14ac:dyDescent="0.2">
      <c r="B41" s="3"/>
      <c r="C41" s="3"/>
      <c r="D41" s="3"/>
      <c r="E41" s="3"/>
      <c r="J41" s="7"/>
      <c r="K41" s="9"/>
      <c r="L41" s="9"/>
      <c r="M41" s="9"/>
      <c r="N41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1743-20C0-0B4F-9C29-EB24E4EF0B9B}">
  <dimension ref="A1:E20"/>
  <sheetViews>
    <sheetView zoomScale="139" workbookViewId="0">
      <selection activeCell="B16" sqref="B16"/>
    </sheetView>
  </sheetViews>
  <sheetFormatPr baseColWidth="10" defaultRowHeight="16" x14ac:dyDescent="0.2"/>
  <cols>
    <col min="1" max="1" width="8.33203125" bestFit="1" customWidth="1"/>
    <col min="2" max="2" width="18.33203125" bestFit="1" customWidth="1"/>
    <col min="3" max="3" width="40.33203125" bestFit="1" customWidth="1"/>
    <col min="4" max="4" width="21.83203125" bestFit="1" customWidth="1"/>
    <col min="5" max="5" width="27.1640625" bestFit="1" customWidth="1"/>
  </cols>
  <sheetData>
    <row r="1" spans="1:5" ht="34" x14ac:dyDescent="0.2">
      <c r="A1" s="1" t="s">
        <v>0</v>
      </c>
      <c r="B1" s="4" t="s">
        <v>25</v>
      </c>
      <c r="C1" s="13" t="s">
        <v>34</v>
      </c>
      <c r="D1" s="4" t="s">
        <v>26</v>
      </c>
      <c r="E1" s="13" t="s">
        <v>35</v>
      </c>
    </row>
    <row r="2" spans="1:5" x14ac:dyDescent="0.2">
      <c r="A2" t="s">
        <v>5</v>
      </c>
      <c r="B2" s="5">
        <f>(3.12-'original data'!B6)/3.12</f>
        <v>0.10839743589743592</v>
      </c>
      <c r="C2" s="14">
        <v>358.60109999999997</v>
      </c>
      <c r="D2" s="12">
        <f>(289.79-'original data'!D6)/289.79</f>
        <v>0.24318161427240423</v>
      </c>
      <c r="E2" s="14">
        <v>74723.28</v>
      </c>
    </row>
    <row r="3" spans="1:5" x14ac:dyDescent="0.2">
      <c r="A3" t="s">
        <v>6</v>
      </c>
      <c r="B3" s="5">
        <f>(3.12-'original data'!B7)/3.12</f>
        <v>0.11044871794871802</v>
      </c>
      <c r="C3" s="14">
        <v>358.60109999999997</v>
      </c>
      <c r="D3" s="12">
        <f>(289.79-'original data'!D7)/289.79</f>
        <v>0.24614306911901732</v>
      </c>
      <c r="E3" s="14">
        <v>74723.28</v>
      </c>
    </row>
    <row r="4" spans="1:5" x14ac:dyDescent="0.2">
      <c r="A4" t="s">
        <v>7</v>
      </c>
      <c r="B4" s="5">
        <f>(3.12-'original data'!B8)/3.12</f>
        <v>0.11301282051282059</v>
      </c>
      <c r="C4" s="14">
        <v>370.48599999999999</v>
      </c>
      <c r="D4" s="12">
        <f>(289.79-'original data'!D8)/289.79</f>
        <v>0.24996721764036031</v>
      </c>
      <c r="E4" s="14">
        <v>76257.626262999998</v>
      </c>
    </row>
    <row r="5" spans="1:5" x14ac:dyDescent="0.2">
      <c r="A5" t="s">
        <v>8</v>
      </c>
      <c r="B5" s="5">
        <f>(3.12-'original data'!B9)/3.12</f>
        <v>0.1125961538461539</v>
      </c>
      <c r="C5" s="14">
        <v>361.22199999999998</v>
      </c>
      <c r="D5" s="12">
        <f>(289.79-'original data'!D9)/289.79</f>
        <v>0.24894199247731119</v>
      </c>
      <c r="E5" s="14">
        <v>74717.115000000005</v>
      </c>
    </row>
    <row r="6" spans="1:5" x14ac:dyDescent="0.2">
      <c r="A6" t="s">
        <v>9</v>
      </c>
      <c r="B6" s="5">
        <f>(3.12-'original data'!B10)/3.12</f>
        <v>0.1087179487179487</v>
      </c>
      <c r="C6" s="14">
        <v>378.23070000000001</v>
      </c>
      <c r="D6" s="12">
        <f>(289.79-'original data'!D10)/289.79</f>
        <v>0.24352462127747687</v>
      </c>
      <c r="E6" s="14">
        <v>77701.13</v>
      </c>
    </row>
    <row r="7" spans="1:5" x14ac:dyDescent="0.2">
      <c r="A7" t="s">
        <v>10</v>
      </c>
      <c r="B7" s="5">
        <f>(3.12-'original data'!B11)/3.12</f>
        <v>0.10958333333333344</v>
      </c>
      <c r="C7" s="14">
        <v>378.23072000000002</v>
      </c>
      <c r="D7" s="12">
        <f>(289.79-'original data'!D11)/289.79</f>
        <v>0.2444497739742573</v>
      </c>
      <c r="E7" s="14">
        <v>77701.130048000006</v>
      </c>
    </row>
    <row r="8" spans="1:5" x14ac:dyDescent="0.2">
      <c r="A8" t="s">
        <v>11</v>
      </c>
      <c r="B8" s="5">
        <f>(3.12-'original data'!B12)/3.12</f>
        <v>0.10990384615384621</v>
      </c>
      <c r="C8" s="14">
        <v>420.09140000000002</v>
      </c>
      <c r="D8" s="12">
        <f>(289.79-'original data'!D12)/289.79</f>
        <v>0.24446978846751102</v>
      </c>
      <c r="E8" s="14">
        <v>83610.63</v>
      </c>
    </row>
    <row r="9" spans="1:5" x14ac:dyDescent="0.2">
      <c r="A9" t="s">
        <v>12</v>
      </c>
      <c r="B9" s="5">
        <f>(3.12-'original data'!B13)/3.12</f>
        <v>0.10836538461538471</v>
      </c>
      <c r="C9" s="14">
        <v>421.44</v>
      </c>
      <c r="D9" s="12">
        <f>(289.79-'original data'!D13)/289.79</f>
        <v>0.24144725490872707</v>
      </c>
      <c r="E9" s="14">
        <v>83535.791400000002</v>
      </c>
    </row>
    <row r="10" spans="1:5" x14ac:dyDescent="0.2">
      <c r="A10" t="s">
        <v>13</v>
      </c>
      <c r="B10" s="5">
        <f>(3.12-'original data'!B14)/3.12</f>
        <v>0.10855769230769237</v>
      </c>
      <c r="C10" s="14">
        <v>358.53615000000002</v>
      </c>
      <c r="D10" s="12">
        <f>(289.79-'original data'!D14)/289.79</f>
        <v>0.24340729493771363</v>
      </c>
      <c r="E10" s="14">
        <v>74724.6679</v>
      </c>
    </row>
    <row r="11" spans="1:5" x14ac:dyDescent="0.2">
      <c r="A11" t="s">
        <v>14</v>
      </c>
      <c r="B11" s="5">
        <f>(3.12-'original data'!B15)/3.12</f>
        <v>0.11102564102564104</v>
      </c>
      <c r="C11" s="14">
        <v>358.53615100000002</v>
      </c>
      <c r="D11" s="12">
        <f>(289.79-'original data'!D15)/289.79</f>
        <v>0.24699541046965048</v>
      </c>
      <c r="E11" s="14">
        <v>74724.6679</v>
      </c>
    </row>
    <row r="12" spans="1:5" x14ac:dyDescent="0.2">
      <c r="A12" t="s">
        <v>15</v>
      </c>
      <c r="B12" s="5">
        <f>(3.12-'original data'!B16)/3.12</f>
        <v>0.11294871794871802</v>
      </c>
      <c r="C12" s="14">
        <v>369.21024</v>
      </c>
      <c r="D12" s="12">
        <f>(289.79-'original data'!D16)/289.79</f>
        <v>0.24974498774974985</v>
      </c>
      <c r="E12" s="14">
        <v>76084.75</v>
      </c>
    </row>
    <row r="13" spans="1:5" x14ac:dyDescent="0.2">
      <c r="A13" t="s">
        <v>16</v>
      </c>
      <c r="B13" s="5">
        <f>(3.12-'original data'!B17)/3.12</f>
        <v>0.1141346153846154</v>
      </c>
      <c r="C13" s="14">
        <v>361.64337499999999</v>
      </c>
      <c r="D13" s="12">
        <f>(289.79-'original data'!D17)/289.79</f>
        <v>0.25125953276510582</v>
      </c>
      <c r="E13" s="14">
        <v>74836.812999999995</v>
      </c>
    </row>
    <row r="14" spans="1:5" x14ac:dyDescent="0.2">
      <c r="A14" t="s">
        <v>17</v>
      </c>
      <c r="B14" s="5">
        <f>(3.12-'original data'!B18)/3.12</f>
        <v>0.10858974358974359</v>
      </c>
      <c r="C14" s="14">
        <v>372.46879999999999</v>
      </c>
      <c r="D14" s="12">
        <f>(289.79-'original data'!D18)/289.79</f>
        <v>0.24321267124469445</v>
      </c>
      <c r="E14" s="14">
        <v>76816.309926000002</v>
      </c>
    </row>
    <row r="15" spans="1:5" x14ac:dyDescent="0.2">
      <c r="A15" t="s">
        <v>18</v>
      </c>
      <c r="B15" s="5">
        <f>(3.12-'original data'!B19)/3.12</f>
        <v>0.11121794871794871</v>
      </c>
      <c r="C15" s="14">
        <v>372.46880299999998</v>
      </c>
      <c r="D15" s="12">
        <f>(289.79-'original data'!D19)/289.79</f>
        <v>0.24692743020808178</v>
      </c>
      <c r="E15" s="14">
        <v>76816.309926000002</v>
      </c>
    </row>
    <row r="16" spans="1:5" x14ac:dyDescent="0.2">
      <c r="A16" t="s">
        <v>19</v>
      </c>
      <c r="B16" s="5">
        <f>(3.12-'original data'!B20)/3.12</f>
        <v>0.1155448717948718</v>
      </c>
      <c r="C16" s="14">
        <v>419.74610000000001</v>
      </c>
      <c r="D16" s="12">
        <f>(289.79-'original data'!D20)/289.79</f>
        <v>0.24816970909969299</v>
      </c>
      <c r="E16" s="14">
        <v>83677.707850000006</v>
      </c>
    </row>
    <row r="17" spans="1:5" x14ac:dyDescent="0.2">
      <c r="A17" t="s">
        <v>20</v>
      </c>
      <c r="B17" s="5">
        <f>(3.12-'original data'!B21)/3.12</f>
        <v>0.1092628205128205</v>
      </c>
      <c r="C17" s="14">
        <v>421.7251</v>
      </c>
      <c r="D17" s="12">
        <f>(289.79-'original data'!D21)/289.79</f>
        <v>0.24250733289623524</v>
      </c>
      <c r="E17" s="14">
        <v>83639.119000000006</v>
      </c>
    </row>
    <row r="18" spans="1:5" x14ac:dyDescent="0.2">
      <c r="B18" s="5"/>
      <c r="C18" s="15"/>
      <c r="D18" s="5"/>
      <c r="E18" s="3"/>
    </row>
    <row r="19" spans="1:5" x14ac:dyDescent="0.2">
      <c r="A19" t="s">
        <v>27</v>
      </c>
      <c r="B19" s="5">
        <f>MIN(B2:B17)</f>
        <v>0.10836538461538471</v>
      </c>
      <c r="C19" s="6">
        <f>MIN(C2:C17)</f>
        <v>358.53615000000002</v>
      </c>
      <c r="D19" s="5">
        <f>MIN(D2:D17)</f>
        <v>0.24144725490872707</v>
      </c>
      <c r="E19" s="6">
        <f>MIN(E2:E17)</f>
        <v>74717.115000000005</v>
      </c>
    </row>
    <row r="20" spans="1:5" x14ac:dyDescent="0.2">
      <c r="A20" t="s">
        <v>28</v>
      </c>
      <c r="B20" s="5">
        <f>MAX(B2:B17)</f>
        <v>0.1155448717948718</v>
      </c>
      <c r="C20" s="6">
        <f>MAX(C2:C17)</f>
        <v>421.7251</v>
      </c>
      <c r="D20" s="5">
        <f>MAX(D2:D17)</f>
        <v>0.25125953276510582</v>
      </c>
      <c r="E20" s="6">
        <f>MAX(E2:E17)</f>
        <v>83677.707850000006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96F2-D657-6A40-B055-375A41585C76}">
  <dimension ref="A1:E17"/>
  <sheetViews>
    <sheetView zoomScale="112" workbookViewId="0">
      <selection activeCell="E16" sqref="E16"/>
    </sheetView>
  </sheetViews>
  <sheetFormatPr baseColWidth="10" defaultRowHeight="16" x14ac:dyDescent="0.2"/>
  <cols>
    <col min="3" max="3" width="28.33203125" customWidth="1"/>
    <col min="4" max="4" width="23.33203125" customWidth="1"/>
    <col min="5" max="5" width="18" customWidth="1"/>
  </cols>
  <sheetData>
    <row r="1" spans="1:5" ht="34" x14ac:dyDescent="0.2">
      <c r="A1" s="1" t="s">
        <v>0</v>
      </c>
      <c r="B1" s="4" t="s">
        <v>25</v>
      </c>
      <c r="C1" s="2" t="s">
        <v>23</v>
      </c>
      <c r="D1" s="4" t="s">
        <v>26</v>
      </c>
      <c r="E1" s="2" t="s">
        <v>24</v>
      </c>
    </row>
    <row r="2" spans="1:5" x14ac:dyDescent="0.2">
      <c r="A2" t="s">
        <v>5</v>
      </c>
      <c r="B2" s="6">
        <f>('S3-ratio'!B2-'S3-ratio'!B$19)/('S3-ratio'!B$20-'S3-ratio'!B$19)*9+1</f>
        <v>1.0401785714284779</v>
      </c>
      <c r="C2" s="6">
        <f>('S3-ratio'!C2-'S3-ratio'!C$19)/('S3-ratio'!C$20-'S3-ratio'!C$19)*9+1</f>
        <v>1.0092508262916156</v>
      </c>
      <c r="D2" s="6">
        <f>('S3-ratio'!D2-'S3-ratio'!D$19)/('S3-ratio'!D$20-'S3-ratio'!D$19)*9+1</f>
        <v>2.5907860031651295</v>
      </c>
      <c r="E2" s="6">
        <f>('S3-ratio'!E2-'S3-ratio'!E$19)/('S3-ratio'!E$20-'S3-ratio'!E$19)*9+1</f>
        <v>1.0061921126122746</v>
      </c>
    </row>
    <row r="3" spans="1:5" x14ac:dyDescent="0.2">
      <c r="A3" t="s">
        <v>6</v>
      </c>
      <c r="B3" s="6">
        <f>('S3-ratio'!B3-'S3-ratio'!B$19)/('S3-ratio'!B$20-'S3-ratio'!B$19)*9+1</f>
        <v>3.6116071428571486</v>
      </c>
      <c r="C3" s="6">
        <f>('S3-ratio'!C3-'S3-ratio'!C$19)/('S3-ratio'!C$20-'S3-ratio'!C$19)*9+1</f>
        <v>1.0092508262916156</v>
      </c>
      <c r="D3" s="6">
        <f>('S3-ratio'!D3-'S3-ratio'!D$19)/('S3-ratio'!D$20-'S3-ratio'!D$19)*9+1</f>
        <v>5.3070863372604569</v>
      </c>
      <c r="E3" s="6">
        <f>('S3-ratio'!E3-'S3-ratio'!E$19)/('S3-ratio'!E$20-'S3-ratio'!E$19)*9+1</f>
        <v>1.0061921126122746</v>
      </c>
    </row>
    <row r="4" spans="1:5" x14ac:dyDescent="0.2">
      <c r="A4" t="s">
        <v>7</v>
      </c>
      <c r="B4" s="6">
        <f>('S3-ratio'!B4-'S3-ratio'!B$19)/('S3-ratio'!B$20-'S3-ratio'!B$19)*9+1</f>
        <v>6.8258928571429092</v>
      </c>
      <c r="C4" s="6">
        <f>('S3-ratio'!C4-'S3-ratio'!C$19)/('S3-ratio'!C$20-'S3-ratio'!C$19)*9+1</f>
        <v>2.7020167291907802</v>
      </c>
      <c r="D4" s="6">
        <f>('S3-ratio'!D4-'S3-ratio'!D$19)/('S3-ratio'!D$20-'S3-ratio'!D$19)*9+1</f>
        <v>8.814665025496744</v>
      </c>
      <c r="E4" s="6">
        <f>('S3-ratio'!E4-'S3-ratio'!E$19)/('S3-ratio'!E$20-'S3-ratio'!E$19)*9+1</f>
        <v>2.547286167231662</v>
      </c>
    </row>
    <row r="5" spans="1:5" x14ac:dyDescent="0.2">
      <c r="A5" t="s">
        <v>8</v>
      </c>
      <c r="B5" s="6">
        <f>('S3-ratio'!B5-'S3-ratio'!B$19)/('S3-ratio'!B$20-'S3-ratio'!B$19)*9+1</f>
        <v>6.3035714285714448</v>
      </c>
      <c r="C5" s="6">
        <f>('S3-ratio'!C5-'S3-ratio'!C$19)/('S3-ratio'!C$20-'S3-ratio'!C$19)*9+1</f>
        <v>1.3825455241778768</v>
      </c>
      <c r="D5" s="6">
        <f>('S3-ratio'!D5-'S3-ratio'!D$19)/('S3-ratio'!D$20-'S3-ratio'!D$19)*9+1</f>
        <v>7.8743098294355374</v>
      </c>
      <c r="E5" s="6">
        <f>('S3-ratio'!E5-'S3-ratio'!E$19)/('S3-ratio'!E$20-'S3-ratio'!E$19)*9+1</f>
        <v>1</v>
      </c>
    </row>
    <row r="6" spans="1:5" x14ac:dyDescent="0.2">
      <c r="A6" t="s">
        <v>9</v>
      </c>
      <c r="B6" s="6">
        <f>('S3-ratio'!B6-'S3-ratio'!B$19)/('S3-ratio'!B$20-'S3-ratio'!B$19)*9+1</f>
        <v>1.4419642857141435</v>
      </c>
      <c r="C6" s="6">
        <f>('S3-ratio'!C6-'S3-ratio'!C$19)/('S3-ratio'!C$20-'S3-ratio'!C$19)*9+1</f>
        <v>3.8050940868617058</v>
      </c>
      <c r="D6" s="6">
        <f>('S3-ratio'!D6-'S3-ratio'!D$19)/('S3-ratio'!D$20-'S3-ratio'!D$19)*9+1</f>
        <v>2.9053982767716047</v>
      </c>
      <c r="E6" s="6">
        <f>('S3-ratio'!E6-'S3-ratio'!E$19)/('S3-ratio'!E$20-'S3-ratio'!E$19)*9+1</f>
        <v>3.9971381860074127</v>
      </c>
    </row>
    <row r="7" spans="1:5" x14ac:dyDescent="0.2">
      <c r="A7" t="s">
        <v>10</v>
      </c>
      <c r="B7" s="6">
        <f>('S3-ratio'!B7-'S3-ratio'!B$19)/('S3-ratio'!B$20-'S3-ratio'!B$19)*9+1</f>
        <v>2.5267857142857419</v>
      </c>
      <c r="C7" s="6">
        <f>('S3-ratio'!C7-'S3-ratio'!C$19)/('S3-ratio'!C$20-'S3-ratio'!C$19)*9+1</f>
        <v>3.8050969354610267</v>
      </c>
      <c r="D7" s="6">
        <f>('S3-ratio'!D7-'S3-ratio'!D$19)/('S3-ratio'!D$20-'S3-ratio'!D$19)*9+1</f>
        <v>3.753965183752435</v>
      </c>
      <c r="E7" s="6">
        <f>('S3-ratio'!E7-'S3-ratio'!E$19)/('S3-ratio'!E$20-'S3-ratio'!E$19)*9+1</f>
        <v>3.99713823421851</v>
      </c>
    </row>
    <row r="8" spans="1:5" x14ac:dyDescent="0.2">
      <c r="A8" t="s">
        <v>11</v>
      </c>
      <c r="B8" s="6">
        <f>('S3-ratio'!B8-'S3-ratio'!B$19)/('S3-ratio'!B$20-'S3-ratio'!B$19)*9+1</f>
        <v>2.9285714285714075</v>
      </c>
      <c r="C8" s="6">
        <f>('S3-ratio'!C8-'S3-ratio'!C$19)/('S3-ratio'!C$20-'S3-ratio'!C$19)*9+1</f>
        <v>9.7673121645477607</v>
      </c>
      <c r="D8" s="6">
        <f>('S3-ratio'!D8-'S3-ratio'!D$19)/('S3-ratio'!D$20-'S3-ratio'!D$19)*9+1</f>
        <v>3.7723228415685002</v>
      </c>
      <c r="E8" s="6">
        <f>('S3-ratio'!E8-'S3-ratio'!E$19)/('S3-ratio'!E$20-'S3-ratio'!E$19)*9+1</f>
        <v>9.9326271531241357</v>
      </c>
    </row>
    <row r="9" spans="1:5" x14ac:dyDescent="0.2">
      <c r="A9" t="s">
        <v>12</v>
      </c>
      <c r="B9" s="6">
        <f>('S3-ratio'!B9-'S3-ratio'!B$19)/('S3-ratio'!B$20-'S3-ratio'!B$19)*9+1</f>
        <v>1</v>
      </c>
      <c r="C9" s="6">
        <f>('S3-ratio'!C9-'S3-ratio'!C$19)/('S3-ratio'!C$20-'S3-ratio'!C$19)*9+1</f>
        <v>9.9593932166937407</v>
      </c>
      <c r="D9" s="6">
        <f>('S3-ratio'!D9-'S3-ratio'!D$19)/('S3-ratio'!D$20-'S3-ratio'!D$19)*9+1</f>
        <v>1</v>
      </c>
      <c r="E9" s="6">
        <f>('S3-ratio'!E9-'S3-ratio'!E$19)/('S3-ratio'!E$20-'S3-ratio'!E$19)*9+1</f>
        <v>9.8574594258012702</v>
      </c>
    </row>
    <row r="10" spans="1:5" x14ac:dyDescent="0.2">
      <c r="A10" t="s">
        <v>13</v>
      </c>
      <c r="B10" s="6">
        <f>('S3-ratio'!B10-'S3-ratio'!B$19)/('S3-ratio'!B$20-'S3-ratio'!B$19)*9+1</f>
        <v>1.2410714285713889</v>
      </c>
      <c r="C10" s="6">
        <f>('S3-ratio'!C10-'S3-ratio'!C$19)/('S3-ratio'!C$20-'S3-ratio'!C$19)*9+1</f>
        <v>1</v>
      </c>
      <c r="D10" s="6">
        <f>('S3-ratio'!D10-'S3-ratio'!D$19)/('S3-ratio'!D$20-'S3-ratio'!D$19)*9+1</f>
        <v>2.7977844206084534</v>
      </c>
      <c r="E10" s="6">
        <f>('S3-ratio'!E10-'S3-ratio'!E$19)/('S3-ratio'!E$20-'S3-ratio'!E$19)*9+1</f>
        <v>1.0075861163583564</v>
      </c>
    </row>
    <row r="11" spans="1:5" x14ac:dyDescent="0.2">
      <c r="A11" t="s">
        <v>14</v>
      </c>
      <c r="B11" s="6">
        <f>('S3-ratio'!B11-'S3-ratio'!B$19)/('S3-ratio'!B$20-'S3-ratio'!B$19)*9+1</f>
        <v>4.3348214285713675</v>
      </c>
      <c r="C11" s="6">
        <f>('S3-ratio'!C11-'S3-ratio'!C$19)/('S3-ratio'!C$20-'S3-ratio'!C$19)*9+1</f>
        <v>1.0000001424299656</v>
      </c>
      <c r="D11" s="6">
        <f>('S3-ratio'!D11-'S3-ratio'!D$19)/('S3-ratio'!D$20-'S3-ratio'!D$19)*9+1</f>
        <v>6.0888693511517431</v>
      </c>
      <c r="E11" s="6">
        <f>('S3-ratio'!E11-'S3-ratio'!E$19)/('S3-ratio'!E$20-'S3-ratio'!E$19)*9+1</f>
        <v>1.0075861163583564</v>
      </c>
    </row>
    <row r="12" spans="1:5" x14ac:dyDescent="0.2">
      <c r="A12" t="s">
        <v>15</v>
      </c>
      <c r="B12" s="6">
        <f>('S3-ratio'!B12-'S3-ratio'!B$19)/('S3-ratio'!B$20-'S3-ratio'!B$19)*9+1</f>
        <v>6.7455357142857615</v>
      </c>
      <c r="C12" s="6">
        <f>('S3-ratio'!C12-'S3-ratio'!C$19)/('S3-ratio'!C$20-'S3-ratio'!C$19)*9+1</f>
        <v>2.5203102757681499</v>
      </c>
      <c r="D12" s="6">
        <f>('S3-ratio'!D12-'S3-ratio'!D$19)/('S3-ratio'!D$20-'S3-ratio'!D$19)*9+1</f>
        <v>8.6108317214699959</v>
      </c>
      <c r="E12" s="6">
        <f>('S3-ratio'!E12-'S3-ratio'!E$19)/('S3-ratio'!E$20-'S3-ratio'!E$19)*9+1</f>
        <v>2.3736496240870886</v>
      </c>
    </row>
    <row r="13" spans="1:5" x14ac:dyDescent="0.2">
      <c r="A13" t="s">
        <v>16</v>
      </c>
      <c r="B13" s="6">
        <f>('S3-ratio'!B13-'S3-ratio'!B$19)/('S3-ratio'!B$20-'S3-ratio'!B$19)*9+1</f>
        <v>8.2321428571428505</v>
      </c>
      <c r="C13" s="6">
        <f>('S3-ratio'!C13-'S3-ratio'!C$19)/('S3-ratio'!C$20-'S3-ratio'!C$19)*9+1</f>
        <v>1.4425619511006236</v>
      </c>
      <c r="D13" s="6">
        <f>('S3-ratio'!D13-'S3-ratio'!D$19)/('S3-ratio'!D$20-'S3-ratio'!D$19)*9+1</f>
        <v>10</v>
      </c>
      <c r="E13" s="6">
        <f>('S3-ratio'!E13-'S3-ratio'!E$19)/('S3-ratio'!E$20-'S3-ratio'!E$19)*9+1</f>
        <v>1.1202244112675988</v>
      </c>
    </row>
    <row r="14" spans="1:5" x14ac:dyDescent="0.2">
      <c r="A14" t="s">
        <v>17</v>
      </c>
      <c r="B14" s="6">
        <f>('S3-ratio'!B14-'S3-ratio'!B$19)/('S3-ratio'!B$20-'S3-ratio'!B$19)*9+1</f>
        <v>1.2812499999998841</v>
      </c>
      <c r="C14" s="6">
        <f>('S3-ratio'!C14-'S3-ratio'!C$19)/('S3-ratio'!C$20-'S3-ratio'!C$19)*9+1</f>
        <v>2.9844268657732047</v>
      </c>
      <c r="D14" s="6">
        <f>('S3-ratio'!D14-'S3-ratio'!D$19)/('S3-ratio'!D$20-'S3-ratio'!D$19)*9+1</f>
        <v>2.6192720239141543</v>
      </c>
      <c r="E14" s="6">
        <f>('S3-ratio'!E14-'S3-ratio'!E$19)/('S3-ratio'!E$20-'S3-ratio'!E$19)*9+1</f>
        <v>3.1084268251290945</v>
      </c>
    </row>
    <row r="15" spans="1:5" x14ac:dyDescent="0.2">
      <c r="A15" t="s">
        <v>18</v>
      </c>
      <c r="B15" s="6">
        <f>('S3-ratio'!B15-'S3-ratio'!B$19)/('S3-ratio'!B$20-'S3-ratio'!B$19)*9+1</f>
        <v>4.5758928571427742</v>
      </c>
      <c r="C15" s="6">
        <f>('S3-ratio'!C15-'S3-ratio'!C$19)/('S3-ratio'!C$20-'S3-ratio'!C$19)*9+1</f>
        <v>2.9844272930631019</v>
      </c>
      <c r="D15" s="6">
        <f>('S3-ratio'!D15-'S3-ratio'!D$19)/('S3-ratio'!D$20-'S3-ratio'!D$19)*9+1</f>
        <v>6.0265166168454449</v>
      </c>
      <c r="E15" s="6">
        <f>('S3-ratio'!E15-'S3-ratio'!E$19)/('S3-ratio'!E$20-'S3-ratio'!E$19)*9+1</f>
        <v>3.1084268251290945</v>
      </c>
    </row>
    <row r="16" spans="1:5" x14ac:dyDescent="0.2">
      <c r="A16" t="s">
        <v>19</v>
      </c>
      <c r="B16" s="6">
        <f>('S3-ratio'!B16-'S3-ratio'!B$19)/('S3-ratio'!B$20-'S3-ratio'!B$19)*9+1</f>
        <v>10</v>
      </c>
      <c r="C16" s="6">
        <f>('S3-ratio'!C16-'S3-ratio'!C$19)/('S3-ratio'!C$20-'S3-ratio'!C$19)*9+1</f>
        <v>9.7181310972883725</v>
      </c>
      <c r="D16" s="6">
        <f>('S3-ratio'!D16-'S3-ratio'!D$19)/('S3-ratio'!D$20-'S3-ratio'!D$19)*9+1</f>
        <v>7.1659574468085623</v>
      </c>
      <c r="E16" s="6">
        <f>('S3-ratio'!E16-'S3-ratio'!E$19)/('S3-ratio'!E$20-'S3-ratio'!E$19)*9+1</f>
        <v>10</v>
      </c>
    </row>
    <row r="17" spans="1:5" x14ac:dyDescent="0.2">
      <c r="A17" t="s">
        <v>20</v>
      </c>
      <c r="B17" s="6">
        <f>('S3-ratio'!B17-'S3-ratio'!B$19)/('S3-ratio'!B$20-'S3-ratio'!B$19)*9+1</f>
        <v>2.1249999999998845</v>
      </c>
      <c r="C17" s="6">
        <f>('S3-ratio'!C17-'S3-ratio'!C$19)/('S3-ratio'!C$20-'S3-ratio'!C$19)*9+1</f>
        <v>10</v>
      </c>
      <c r="D17" s="6">
        <f>('S3-ratio'!D17-'S3-ratio'!D$19)/('S3-ratio'!D$20-'S3-ratio'!D$19)*9+1</f>
        <v>1.9723228415684746</v>
      </c>
      <c r="E17" s="6">
        <f>('S3-ratio'!E17-'S3-ratio'!E$19)/('S3-ratio'!E$20-'S3-ratio'!E$19)*9+1</f>
        <v>9.9612414428583254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AE48-6DEC-3D4B-ADA9-DC5CB99D283B}">
  <dimension ref="A1:F17"/>
  <sheetViews>
    <sheetView zoomScale="223" workbookViewId="0">
      <selection activeCell="G20" sqref="G20"/>
    </sheetView>
  </sheetViews>
  <sheetFormatPr baseColWidth="10" defaultRowHeight="16" x14ac:dyDescent="0.2"/>
  <sheetData>
    <row r="1" spans="1:6" ht="17" x14ac:dyDescent="0.2">
      <c r="A1" s="1" t="s">
        <v>0</v>
      </c>
      <c r="B1" s="4" t="s">
        <v>29</v>
      </c>
      <c r="C1" s="2" t="s">
        <v>30</v>
      </c>
      <c r="D1" s="4" t="s">
        <v>31</v>
      </c>
      <c r="E1" s="2" t="s">
        <v>32</v>
      </c>
      <c r="F1" s="16" t="s">
        <v>36</v>
      </c>
    </row>
    <row r="2" spans="1:6" x14ac:dyDescent="0.2">
      <c r="A2" t="s">
        <v>37</v>
      </c>
      <c r="B2" s="17">
        <f>('S3-ratio'!B2-'S3-ratio'!B$19)/('S3-ratio'!B$20-'S3-ratio'!B$19)*9+1</f>
        <v>1.0401785714284779</v>
      </c>
      <c r="C2" s="17">
        <f>('S3-ratio'!C2-'S3-ratio'!C$19)/('S3-ratio'!C$20-'S3-ratio'!C$19)*9+1</f>
        <v>1.0092508262916156</v>
      </c>
      <c r="D2" s="17">
        <f>('S3-ratio'!D2-'S3-ratio'!D$19)/('S3-ratio'!D$20-'S3-ratio'!D$19)*9+1</f>
        <v>2.5907860031651295</v>
      </c>
      <c r="E2" s="17">
        <f>('S3-ratio'!E2-'S3-ratio'!E$19)/('S3-ratio'!E$20-'S3-ratio'!E$19)*9+1</f>
        <v>1.0061921126122746</v>
      </c>
      <c r="F2" s="18">
        <f>SUM(B2:E2)</f>
        <v>5.6464075134974978</v>
      </c>
    </row>
    <row r="3" spans="1:6" x14ac:dyDescent="0.2">
      <c r="A3" t="s">
        <v>38</v>
      </c>
      <c r="B3" s="17">
        <f>('S3-ratio'!B3-'S3-ratio'!B$19)/('S3-ratio'!B$20-'S3-ratio'!B$19)*9+1</f>
        <v>3.6116071428571486</v>
      </c>
      <c r="C3" s="17">
        <f>('S3-ratio'!C3-'S3-ratio'!C$19)/('S3-ratio'!C$20-'S3-ratio'!C$19)*9+1</f>
        <v>1.0092508262916156</v>
      </c>
      <c r="D3" s="17">
        <f>('S3-ratio'!D3-'S3-ratio'!D$19)/('S3-ratio'!D$20-'S3-ratio'!D$19)*9+1</f>
        <v>5.3070863372604569</v>
      </c>
      <c r="E3" s="17">
        <f>('S3-ratio'!E3-'S3-ratio'!E$19)/('S3-ratio'!E$20-'S3-ratio'!E$19)*9+1</f>
        <v>1.0061921126122746</v>
      </c>
      <c r="F3" s="18">
        <f t="shared" ref="F3:F17" si="0">SUM(B3:E3)</f>
        <v>10.934136419021495</v>
      </c>
    </row>
    <row r="4" spans="1:6" x14ac:dyDescent="0.2">
      <c r="A4" t="s">
        <v>39</v>
      </c>
      <c r="B4" s="17">
        <f>('S3-ratio'!B4-'S3-ratio'!B$19)/('S3-ratio'!B$20-'S3-ratio'!B$19)*9+1</f>
        <v>6.8258928571429092</v>
      </c>
      <c r="C4" s="17">
        <f>('S3-ratio'!C4-'S3-ratio'!C$19)/('S3-ratio'!C$20-'S3-ratio'!C$19)*9+1</f>
        <v>2.7020167291907802</v>
      </c>
      <c r="D4" s="17">
        <f>('S3-ratio'!D4-'S3-ratio'!D$19)/('S3-ratio'!D$20-'S3-ratio'!D$19)*9+1</f>
        <v>8.814665025496744</v>
      </c>
      <c r="E4" s="17">
        <f>('S3-ratio'!E4-'S3-ratio'!E$19)/('S3-ratio'!E$20-'S3-ratio'!E$19)*9+1</f>
        <v>2.547286167231662</v>
      </c>
      <c r="F4" s="18">
        <f t="shared" si="0"/>
        <v>20.889860779062094</v>
      </c>
    </row>
    <row r="5" spans="1:6" x14ac:dyDescent="0.2">
      <c r="A5" t="s">
        <v>40</v>
      </c>
      <c r="B5" s="17">
        <f>('S3-ratio'!B5-'S3-ratio'!B$19)/('S3-ratio'!B$20-'S3-ratio'!B$19)*9+1</f>
        <v>6.3035714285714448</v>
      </c>
      <c r="C5" s="17">
        <f>('S3-ratio'!C5-'S3-ratio'!C$19)/('S3-ratio'!C$20-'S3-ratio'!C$19)*9+1</f>
        <v>1.3825455241778768</v>
      </c>
      <c r="D5" s="17">
        <f>('S3-ratio'!D5-'S3-ratio'!D$19)/('S3-ratio'!D$20-'S3-ratio'!D$19)*9+1</f>
        <v>7.8743098294355374</v>
      </c>
      <c r="E5" s="17">
        <f>('S3-ratio'!E5-'S3-ratio'!E$19)/('S3-ratio'!E$20-'S3-ratio'!E$19)*9+1</f>
        <v>1</v>
      </c>
      <c r="F5" s="18">
        <f t="shared" si="0"/>
        <v>16.560426782184859</v>
      </c>
    </row>
    <row r="6" spans="1:6" x14ac:dyDescent="0.2">
      <c r="A6" t="s">
        <v>41</v>
      </c>
      <c r="B6" s="17">
        <f>('S3-ratio'!B6-'S3-ratio'!B$19)/('S3-ratio'!B$20-'S3-ratio'!B$19)*9+1</f>
        <v>1.4419642857141435</v>
      </c>
      <c r="C6" s="17">
        <f>('S3-ratio'!C6-'S3-ratio'!C$19)/('S3-ratio'!C$20-'S3-ratio'!C$19)*9+1</f>
        <v>3.8050940868617058</v>
      </c>
      <c r="D6" s="17">
        <f>('S3-ratio'!D6-'S3-ratio'!D$19)/('S3-ratio'!D$20-'S3-ratio'!D$19)*9+1</f>
        <v>2.9053982767716047</v>
      </c>
      <c r="E6" s="17">
        <f>('S3-ratio'!E6-'S3-ratio'!E$19)/('S3-ratio'!E$20-'S3-ratio'!E$19)*9+1</f>
        <v>3.9971381860074127</v>
      </c>
      <c r="F6" s="18">
        <f t="shared" si="0"/>
        <v>12.149594835354865</v>
      </c>
    </row>
    <row r="7" spans="1:6" x14ac:dyDescent="0.2">
      <c r="A7" t="s">
        <v>42</v>
      </c>
      <c r="B7" s="17">
        <f>('S3-ratio'!B7-'S3-ratio'!B$19)/('S3-ratio'!B$20-'S3-ratio'!B$19)*9+1</f>
        <v>2.5267857142857419</v>
      </c>
      <c r="C7" s="17">
        <f>('S3-ratio'!C7-'S3-ratio'!C$19)/('S3-ratio'!C$20-'S3-ratio'!C$19)*9+1</f>
        <v>3.8050969354610267</v>
      </c>
      <c r="D7" s="17">
        <f>('S3-ratio'!D7-'S3-ratio'!D$19)/('S3-ratio'!D$20-'S3-ratio'!D$19)*9+1</f>
        <v>3.753965183752435</v>
      </c>
      <c r="E7" s="17">
        <f>('S3-ratio'!E7-'S3-ratio'!E$19)/('S3-ratio'!E$20-'S3-ratio'!E$19)*9+1</f>
        <v>3.99713823421851</v>
      </c>
      <c r="F7" s="18">
        <f t="shared" si="0"/>
        <v>14.082986067717712</v>
      </c>
    </row>
    <row r="8" spans="1:6" x14ac:dyDescent="0.2">
      <c r="A8" t="s">
        <v>43</v>
      </c>
      <c r="B8" s="17">
        <f>('S3-ratio'!B8-'S3-ratio'!B$19)/('S3-ratio'!B$20-'S3-ratio'!B$19)*9+1</f>
        <v>2.9285714285714075</v>
      </c>
      <c r="C8" s="17">
        <f>('S3-ratio'!C8-'S3-ratio'!C$19)/('S3-ratio'!C$20-'S3-ratio'!C$19)*9+1</f>
        <v>9.7673121645477607</v>
      </c>
      <c r="D8" s="17">
        <f>('S3-ratio'!D8-'S3-ratio'!D$19)/('S3-ratio'!D$20-'S3-ratio'!D$19)*9+1</f>
        <v>3.7723228415685002</v>
      </c>
      <c r="E8" s="17">
        <f>('S3-ratio'!E8-'S3-ratio'!E$19)/('S3-ratio'!E$20-'S3-ratio'!E$19)*9+1</f>
        <v>9.9326271531241357</v>
      </c>
      <c r="F8" s="18">
        <f t="shared" si="0"/>
        <v>26.400833587811803</v>
      </c>
    </row>
    <row r="9" spans="1:6" x14ac:dyDescent="0.2">
      <c r="A9" t="s">
        <v>44</v>
      </c>
      <c r="B9" s="17">
        <f>('S3-ratio'!B9-'S3-ratio'!B$19)/('S3-ratio'!B$20-'S3-ratio'!B$19)*9+1</f>
        <v>1</v>
      </c>
      <c r="C9" s="17">
        <f>('S3-ratio'!C9-'S3-ratio'!C$19)/('S3-ratio'!C$20-'S3-ratio'!C$19)*9+1</f>
        <v>9.9593932166937407</v>
      </c>
      <c r="D9" s="17">
        <f>('S3-ratio'!D9-'S3-ratio'!D$19)/('S3-ratio'!D$20-'S3-ratio'!D$19)*9+1</f>
        <v>1</v>
      </c>
      <c r="E9" s="17">
        <f>('S3-ratio'!E9-'S3-ratio'!E$19)/('S3-ratio'!E$20-'S3-ratio'!E$19)*9+1</f>
        <v>9.8574594258012702</v>
      </c>
      <c r="F9" s="18">
        <f t="shared" si="0"/>
        <v>21.816852642495011</v>
      </c>
    </row>
    <row r="10" spans="1:6" x14ac:dyDescent="0.2">
      <c r="A10" t="s">
        <v>45</v>
      </c>
      <c r="B10" s="17">
        <f>('S3-ratio'!B10-'S3-ratio'!B$19)/('S3-ratio'!B$20-'S3-ratio'!B$19)*9+1</f>
        <v>1.2410714285713889</v>
      </c>
      <c r="C10" s="17">
        <f>('S3-ratio'!C10-'S3-ratio'!C$19)/('S3-ratio'!C$20-'S3-ratio'!C$19)*9+1</f>
        <v>1</v>
      </c>
      <c r="D10" s="17">
        <f>('S3-ratio'!D10-'S3-ratio'!D$19)/('S3-ratio'!D$20-'S3-ratio'!D$19)*9+1</f>
        <v>2.7977844206084534</v>
      </c>
      <c r="E10" s="17">
        <f>('S3-ratio'!E10-'S3-ratio'!E$19)/('S3-ratio'!E$20-'S3-ratio'!E$19)*9+1</f>
        <v>1.0075861163583564</v>
      </c>
      <c r="F10" s="18">
        <f t="shared" si="0"/>
        <v>6.0464419655381993</v>
      </c>
    </row>
    <row r="11" spans="1:6" x14ac:dyDescent="0.2">
      <c r="A11" t="s">
        <v>46</v>
      </c>
      <c r="B11" s="17">
        <f>('S3-ratio'!B11-'S3-ratio'!B$19)/('S3-ratio'!B$20-'S3-ratio'!B$19)*9+1</f>
        <v>4.3348214285713675</v>
      </c>
      <c r="C11" s="17">
        <f>('S3-ratio'!C11-'S3-ratio'!C$19)/('S3-ratio'!C$20-'S3-ratio'!C$19)*9+1</f>
        <v>1.0000001424299656</v>
      </c>
      <c r="D11" s="17">
        <f>('S3-ratio'!D11-'S3-ratio'!D$19)/('S3-ratio'!D$20-'S3-ratio'!D$19)*9+1</f>
        <v>6.0888693511517431</v>
      </c>
      <c r="E11" s="17">
        <f>('S3-ratio'!E11-'S3-ratio'!E$19)/('S3-ratio'!E$20-'S3-ratio'!E$19)*9+1</f>
        <v>1.0075861163583564</v>
      </c>
      <c r="F11" s="18">
        <f t="shared" si="0"/>
        <v>12.431277038511432</v>
      </c>
    </row>
    <row r="12" spans="1:6" x14ac:dyDescent="0.2">
      <c r="A12" t="s">
        <v>47</v>
      </c>
      <c r="B12" s="17">
        <f>('S3-ratio'!B12-'S3-ratio'!B$19)/('S3-ratio'!B$20-'S3-ratio'!B$19)*9+1</f>
        <v>6.7455357142857615</v>
      </c>
      <c r="C12" s="17">
        <f>('S3-ratio'!C12-'S3-ratio'!C$19)/('S3-ratio'!C$20-'S3-ratio'!C$19)*9+1</f>
        <v>2.5203102757681499</v>
      </c>
      <c r="D12" s="17">
        <f>('S3-ratio'!D12-'S3-ratio'!D$19)/('S3-ratio'!D$20-'S3-ratio'!D$19)*9+1</f>
        <v>8.6108317214699959</v>
      </c>
      <c r="E12" s="17">
        <f>('S3-ratio'!E12-'S3-ratio'!E$19)/('S3-ratio'!E$20-'S3-ratio'!E$19)*9+1</f>
        <v>2.3736496240870886</v>
      </c>
      <c r="F12" s="18">
        <f t="shared" si="0"/>
        <v>20.250327335610997</v>
      </c>
    </row>
    <row r="13" spans="1:6" x14ac:dyDescent="0.2">
      <c r="A13" t="s">
        <v>48</v>
      </c>
      <c r="B13" s="17">
        <f>('S3-ratio'!B13-'S3-ratio'!B$19)/('S3-ratio'!B$20-'S3-ratio'!B$19)*9+1</f>
        <v>8.2321428571428505</v>
      </c>
      <c r="C13" s="17">
        <f>('S3-ratio'!C13-'S3-ratio'!C$19)/('S3-ratio'!C$20-'S3-ratio'!C$19)*9+1</f>
        <v>1.4425619511006236</v>
      </c>
      <c r="D13" s="17">
        <f>('S3-ratio'!D13-'S3-ratio'!D$19)/('S3-ratio'!D$20-'S3-ratio'!D$19)*9+1</f>
        <v>10</v>
      </c>
      <c r="E13" s="17">
        <f>('S3-ratio'!E13-'S3-ratio'!E$19)/('S3-ratio'!E$20-'S3-ratio'!E$19)*9+1</f>
        <v>1.1202244112675988</v>
      </c>
      <c r="F13" s="18">
        <f t="shared" si="0"/>
        <v>20.794929219511076</v>
      </c>
    </row>
    <row r="14" spans="1:6" x14ac:dyDescent="0.2">
      <c r="A14" t="s">
        <v>49</v>
      </c>
      <c r="B14" s="17">
        <f>('S3-ratio'!B14-'S3-ratio'!B$19)/('S3-ratio'!B$20-'S3-ratio'!B$19)*9+1</f>
        <v>1.2812499999998841</v>
      </c>
      <c r="C14" s="17">
        <f>('S3-ratio'!C14-'S3-ratio'!C$19)/('S3-ratio'!C$20-'S3-ratio'!C$19)*9+1</f>
        <v>2.9844268657732047</v>
      </c>
      <c r="D14" s="17">
        <f>('S3-ratio'!D14-'S3-ratio'!D$19)/('S3-ratio'!D$20-'S3-ratio'!D$19)*9+1</f>
        <v>2.6192720239141543</v>
      </c>
      <c r="E14" s="17">
        <f>('S3-ratio'!E14-'S3-ratio'!E$19)/('S3-ratio'!E$20-'S3-ratio'!E$19)*9+1</f>
        <v>3.1084268251290945</v>
      </c>
      <c r="F14" s="18">
        <f t="shared" si="0"/>
        <v>9.993375714816338</v>
      </c>
    </row>
    <row r="15" spans="1:6" x14ac:dyDescent="0.2">
      <c r="A15" t="s">
        <v>50</v>
      </c>
      <c r="B15" s="17">
        <f>('S3-ratio'!B15-'S3-ratio'!B$19)/('S3-ratio'!B$20-'S3-ratio'!B$19)*9+1</f>
        <v>4.5758928571427742</v>
      </c>
      <c r="C15" s="17">
        <f>('S3-ratio'!C15-'S3-ratio'!C$19)/('S3-ratio'!C$20-'S3-ratio'!C$19)*9+1</f>
        <v>2.9844272930631019</v>
      </c>
      <c r="D15" s="17">
        <f>('S3-ratio'!D15-'S3-ratio'!D$19)/('S3-ratio'!D$20-'S3-ratio'!D$19)*9+1</f>
        <v>6.0265166168454449</v>
      </c>
      <c r="E15" s="17">
        <f>('S3-ratio'!E15-'S3-ratio'!E$19)/('S3-ratio'!E$20-'S3-ratio'!E$19)*9+1</f>
        <v>3.1084268251290945</v>
      </c>
      <c r="F15" s="18">
        <f t="shared" si="0"/>
        <v>16.695263592180414</v>
      </c>
    </row>
    <row r="16" spans="1:6" x14ac:dyDescent="0.2">
      <c r="A16" t="s">
        <v>51</v>
      </c>
      <c r="B16" s="17">
        <f>('S3-ratio'!B16-'S3-ratio'!B$19)/('S3-ratio'!B$20-'S3-ratio'!B$19)*9+1</f>
        <v>10</v>
      </c>
      <c r="C16" s="17">
        <f>('S3-ratio'!C16-'S3-ratio'!C$19)/('S3-ratio'!C$20-'S3-ratio'!C$19)*9+1</f>
        <v>9.7181310972883725</v>
      </c>
      <c r="D16" s="17">
        <f>('S3-ratio'!D16-'S3-ratio'!D$19)/('S3-ratio'!D$20-'S3-ratio'!D$19)*9+1</f>
        <v>7.1659574468085623</v>
      </c>
      <c r="E16" s="17">
        <f>('S3-ratio'!E16-'S3-ratio'!E$19)/('S3-ratio'!E$20-'S3-ratio'!E$19)*9+1</f>
        <v>10</v>
      </c>
      <c r="F16" s="19">
        <f t="shared" si="0"/>
        <v>36.884088544096933</v>
      </c>
    </row>
    <row r="17" spans="1:6" x14ac:dyDescent="0.2">
      <c r="A17" t="s">
        <v>52</v>
      </c>
      <c r="B17" s="17">
        <f>('S3-ratio'!B17-'S3-ratio'!B$19)/('S3-ratio'!B$20-'S3-ratio'!B$19)*9+1</f>
        <v>2.1249999999998845</v>
      </c>
      <c r="C17" s="17">
        <f>('S3-ratio'!C17-'S3-ratio'!C$19)/('S3-ratio'!C$20-'S3-ratio'!C$19)*9+1</f>
        <v>10</v>
      </c>
      <c r="D17" s="17">
        <f>('S3-ratio'!D17-'S3-ratio'!D$19)/('S3-ratio'!D$20-'S3-ratio'!D$19)*9+1</f>
        <v>1.9723228415684746</v>
      </c>
      <c r="E17" s="17">
        <f>('S3-ratio'!E17-'S3-ratio'!E$19)/('S3-ratio'!E$20-'S3-ratio'!E$19)*9+1</f>
        <v>9.9612414428583254</v>
      </c>
      <c r="F17" s="18">
        <f t="shared" si="0"/>
        <v>24.058564284426687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 data</vt:lpstr>
      <vt:lpstr>ratio</vt:lpstr>
      <vt:lpstr>normalization</vt:lpstr>
      <vt:lpstr>dimension</vt:lpstr>
      <vt:lpstr>S3-ratio</vt:lpstr>
      <vt:lpstr>S3-normalization</vt:lpstr>
      <vt:lpstr>S3-dimension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Jingwei</dc:creator>
  <cp:lastModifiedBy>Chen, Jingwei</cp:lastModifiedBy>
  <dcterms:created xsi:type="dcterms:W3CDTF">2024-12-19T19:06:27Z</dcterms:created>
  <dcterms:modified xsi:type="dcterms:W3CDTF">2025-12-12T15:52:58Z</dcterms:modified>
</cp:coreProperties>
</file>